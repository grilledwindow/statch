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tables/table4.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keane\Desktop\Assignments\9. SDD Assignment 2 (26 Jan)\Statch\Statch\wwwroot\"/>
    </mc:Choice>
  </mc:AlternateContent>
  <xr:revisionPtr revIDLastSave="0" documentId="13_ncr:1_{CD8F049E-579A-49A9-A42F-13807C9C0089}" xr6:coauthVersionLast="47" xr6:coauthVersionMax="47" xr10:uidLastSave="{00000000-0000-0000-0000-000000000000}"/>
  <bookViews>
    <workbookView xWindow="-120" yWindow="-120" windowWidth="29040" windowHeight="15840" xr2:uid="{DEFFC142-693F-4A0B-958B-644CE295FDA3}"/>
  </bookViews>
  <sheets>
    <sheet name="Dashboard" sheetId="25" r:id="rId1"/>
    <sheet name="Ledger" sheetId="16" r:id="rId2"/>
    <sheet name="Liabilities" sheetId="2" r:id="rId3"/>
    <sheet name="Recurring Expenses" sheetId="26" r:id="rId4"/>
    <sheet name="CPF" sheetId="8" r:id="rId5"/>
    <sheet name="Main" sheetId="1" r:id="rId6"/>
    <sheet name="CPF Table" sheetId="20" r:id="rId7"/>
    <sheet name="_Database" sheetId="6" r:id="rId8"/>
    <sheet name="Dashboard 2" sheetId="7" r:id="rId9"/>
    <sheet name="Investment" sheetId="17" r:id="rId10"/>
    <sheet name="Income Tax" sheetId="9" r:id="rId11"/>
    <sheet name="Income Tax Table" sheetId="23" r:id="rId12"/>
  </sheets>
  <functionGroups builtInGroupCount="19"/>
  <definedNames>
    <definedName name="B">Investment!$C$61</definedName>
    <definedName name="CatAmountTable">Investment!$S$4:$T$15</definedName>
    <definedName name="Categories">#REF!</definedName>
    <definedName name="Category">#REF!</definedName>
    <definedName name="ChartsIndustry">OFFSET(Investment!$B$53,0,0,COUNTA(Investment!$B$53:$B93),2)</definedName>
    <definedName name="LAmount">_xlfn.ANCHORARRAY(Dashboard!$D1)</definedName>
    <definedName name="LCategory">_xlfn.ANCHORARRAY(Dashboard!$C1048575)</definedName>
    <definedName name="Paid">Main!$A$19:$A$20</definedName>
    <definedName name="ReccEx">Table4[]</definedName>
    <definedName name="Transaction">'Income Tax Table'!$K$16:$K$18</definedName>
    <definedName name="TransactionVals">Ledger!$J$1:$J$3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H5" i="16" l="1"/>
  <c r="H6" i="16"/>
  <c r="H4" i="16"/>
  <c r="F7" i="26"/>
  <c r="H36" i="25" s="1"/>
  <c r="K3" i="1"/>
  <c r="K4" i="1"/>
  <c r="K5" i="1"/>
  <c r="K6" i="1"/>
  <c r="K7" i="1"/>
  <c r="K8" i="1"/>
  <c r="K9" i="1"/>
  <c r="K10" i="1"/>
  <c r="K11" i="1"/>
  <c r="K12" i="1"/>
  <c r="K13" i="1"/>
  <c r="K2" i="1"/>
  <c r="S5" i="17" a="1"/>
  <c r="S5" i="17" s="1"/>
  <c r="T5" i="17" s="1"/>
  <c r="E7" i="2"/>
  <c r="B73" i="25" a="1"/>
  <c r="B73" i="25" s="1"/>
  <c r="C73" i="25" s="1" a="1"/>
  <c r="C73" i="25" s="1"/>
  <c r="H3" i="1"/>
  <c r="H4" i="1"/>
  <c r="H5" i="1"/>
  <c r="H6" i="1"/>
  <c r="H7" i="1"/>
  <c r="H8" i="1"/>
  <c r="H9" i="1"/>
  <c r="H10" i="1"/>
  <c r="H11" i="1"/>
  <c r="H12" i="1"/>
  <c r="H13" i="1"/>
  <c r="H2" i="1"/>
  <c r="S10" i="17" a="1"/>
  <c r="S10" i="17" s="1"/>
  <c r="T10" i="17" s="1"/>
  <c r="S11" i="17" a="1"/>
  <c r="S11" i="17" s="1"/>
  <c r="T11" i="17" s="1"/>
  <c r="S12" i="17" a="1"/>
  <c r="S12" i="17" s="1"/>
  <c r="T12" i="17" s="1"/>
  <c r="S13" i="17" a="1"/>
  <c r="S13" i="17" s="1"/>
  <c r="T13" i="17" s="1"/>
  <c r="S6" i="17" a="1"/>
  <c r="S6" i="17" s="1"/>
  <c r="T6" i="17" s="1"/>
  <c r="S7" i="17" a="1"/>
  <c r="S7" i="17" s="1"/>
  <c r="T7" i="17" s="1"/>
  <c r="S8" i="17" a="1"/>
  <c r="S8" i="17" s="1"/>
  <c r="T8" i="17" s="1"/>
  <c r="S9" i="17" a="1"/>
  <c r="S9" i="17" s="1"/>
  <c r="T9" i="17" s="1"/>
  <c r="S14" i="17" a="1"/>
  <c r="S14" i="17" s="1"/>
  <c r="T14" i="17" s="1"/>
  <c r="S15" i="17" a="1"/>
  <c r="S15" i="17" s="1"/>
  <c r="T15" i="17" s="1"/>
  <c r="S16" i="17" a="1"/>
  <c r="S16" i="17" s="1"/>
  <c r="T16" i="17" s="1"/>
  <c r="S17" i="17" a="1"/>
  <c r="S17" i="17" s="1"/>
  <c r="T17" i="17" s="1"/>
  <c r="O2" i="25"/>
  <c r="D21" i="25"/>
  <c r="F10" i="2"/>
  <c r="E486" i="8"/>
  <c r="E487" i="8"/>
  <c r="E488" i="8"/>
  <c r="E489" i="8"/>
  <c r="E490" i="8"/>
  <c r="E491" i="8"/>
  <c r="E492" i="8"/>
  <c r="E493" i="8"/>
  <c r="E494" i="8"/>
  <c r="E495" i="8"/>
  <c r="E496" i="8"/>
  <c r="E497" i="8"/>
  <c r="J497" i="8" s="1"/>
  <c r="E498" i="8"/>
  <c r="E499" i="8"/>
  <c r="E500" i="8"/>
  <c r="E501" i="8"/>
  <c r="E502" i="8"/>
  <c r="E503" i="8"/>
  <c r="E504" i="8"/>
  <c r="E505" i="8"/>
  <c r="E506" i="8"/>
  <c r="E507" i="8"/>
  <c r="E508" i="8"/>
  <c r="E509" i="8"/>
  <c r="J509" i="8" s="1"/>
  <c r="E510" i="8"/>
  <c r="E511" i="8"/>
  <c r="E512" i="8"/>
  <c r="E513" i="8"/>
  <c r="E514" i="8"/>
  <c r="E515" i="8"/>
  <c r="E516" i="8"/>
  <c r="E517" i="8"/>
  <c r="E518" i="8"/>
  <c r="E519" i="8"/>
  <c r="E520" i="8"/>
  <c r="E521" i="8"/>
  <c r="J521" i="8" s="1"/>
  <c r="E522" i="8"/>
  <c r="E523" i="8"/>
  <c r="E524" i="8"/>
  <c r="E525" i="8"/>
  <c r="E526" i="8"/>
  <c r="E527" i="8"/>
  <c r="E528" i="8"/>
  <c r="E529" i="8"/>
  <c r="E530" i="8"/>
  <c r="E531" i="8"/>
  <c r="E532" i="8"/>
  <c r="E533" i="8"/>
  <c r="J533" i="8" s="1"/>
  <c r="E534" i="8"/>
  <c r="E535" i="8"/>
  <c r="J535" i="8" s="1"/>
  <c r="E536" i="8"/>
  <c r="E537" i="8"/>
  <c r="E538" i="8"/>
  <c r="E539" i="8"/>
  <c r="E540" i="8"/>
  <c r="E541" i="8"/>
  <c r="E542" i="8"/>
  <c r="E543" i="8"/>
  <c r="E544" i="8"/>
  <c r="E545" i="8"/>
  <c r="J545" i="8" s="1"/>
  <c r="E546" i="8"/>
  <c r="E547" i="8"/>
  <c r="E548" i="8"/>
  <c r="E549" i="8"/>
  <c r="E550" i="8"/>
  <c r="E551" i="8"/>
  <c r="E552" i="8"/>
  <c r="E553" i="8"/>
  <c r="E554" i="8"/>
  <c r="E555" i="8"/>
  <c r="E556" i="8"/>
  <c r="E557" i="8"/>
  <c r="J557" i="8" s="1"/>
  <c r="E558" i="8"/>
  <c r="E559" i="8"/>
  <c r="E560" i="8"/>
  <c r="E561" i="8"/>
  <c r="E562" i="8"/>
  <c r="E563" i="8"/>
  <c r="E564" i="8"/>
  <c r="E565" i="8"/>
  <c r="E566" i="8"/>
  <c r="E567" i="8"/>
  <c r="E568" i="8"/>
  <c r="E569" i="8"/>
  <c r="J569" i="8" s="1"/>
  <c r="E570" i="8"/>
  <c r="E571" i="8"/>
  <c r="E572" i="8"/>
  <c r="E573" i="8"/>
  <c r="E574" i="8"/>
  <c r="E575" i="8"/>
  <c r="E576" i="8"/>
  <c r="E577" i="8"/>
  <c r="E578" i="8"/>
  <c r="E579" i="8"/>
  <c r="E580" i="8"/>
  <c r="E581" i="8"/>
  <c r="J581" i="8" s="1"/>
  <c r="E582" i="8"/>
  <c r="E583" i="8"/>
  <c r="E584" i="8"/>
  <c r="E585" i="8"/>
  <c r="E586" i="8"/>
  <c r="E587" i="8"/>
  <c r="E588" i="8"/>
  <c r="E589" i="8"/>
  <c r="E590" i="8"/>
  <c r="E591" i="8"/>
  <c r="E592" i="8"/>
  <c r="E593" i="8"/>
  <c r="J593" i="8" s="1"/>
  <c r="E594" i="8"/>
  <c r="E595" i="8"/>
  <c r="E596" i="8"/>
  <c r="E597" i="8"/>
  <c r="E598" i="8"/>
  <c r="E599" i="8"/>
  <c r="E600" i="8"/>
  <c r="E601" i="8"/>
  <c r="E602" i="8"/>
  <c r="E603" i="8"/>
  <c r="E604" i="8"/>
  <c r="E605" i="8"/>
  <c r="J605" i="8" s="1"/>
  <c r="E606" i="8"/>
  <c r="E607" i="8"/>
  <c r="E608" i="8"/>
  <c r="E609" i="8"/>
  <c r="G529" i="8"/>
  <c r="G553"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157" i="8"/>
  <c r="I158" i="8"/>
  <c r="I159" i="8"/>
  <c r="I160" i="8"/>
  <c r="I161" i="8"/>
  <c r="I162" i="8"/>
  <c r="I163" i="8"/>
  <c r="I164" i="8"/>
  <c r="I165" i="8"/>
  <c r="I166" i="8"/>
  <c r="I167" i="8"/>
  <c r="I168" i="8"/>
  <c r="I169" i="8"/>
  <c r="I170" i="8"/>
  <c r="I171" i="8"/>
  <c r="I172" i="8"/>
  <c r="I173" i="8"/>
  <c r="I174" i="8"/>
  <c r="I175" i="8"/>
  <c r="I176" i="8"/>
  <c r="I177" i="8"/>
  <c r="I178" i="8"/>
  <c r="I179" i="8"/>
  <c r="I180" i="8"/>
  <c r="I181" i="8"/>
  <c r="I182" i="8"/>
  <c r="I183" i="8"/>
  <c r="I184" i="8"/>
  <c r="I185" i="8"/>
  <c r="I186" i="8"/>
  <c r="I187" i="8"/>
  <c r="I188" i="8"/>
  <c r="I189" i="8"/>
  <c r="I190" i="8"/>
  <c r="I191" i="8"/>
  <c r="I192" i="8"/>
  <c r="I193" i="8"/>
  <c r="I194" i="8"/>
  <c r="I195" i="8"/>
  <c r="I196" i="8"/>
  <c r="I197" i="8"/>
  <c r="I198" i="8"/>
  <c r="I199" i="8"/>
  <c r="I200" i="8"/>
  <c r="I201" i="8"/>
  <c r="I202" i="8"/>
  <c r="I203" i="8"/>
  <c r="I204" i="8"/>
  <c r="I205" i="8"/>
  <c r="I206" i="8"/>
  <c r="I207" i="8"/>
  <c r="I208" i="8"/>
  <c r="I209" i="8"/>
  <c r="I210" i="8"/>
  <c r="I211" i="8"/>
  <c r="I212" i="8"/>
  <c r="I213" i="8"/>
  <c r="I214" i="8"/>
  <c r="I215" i="8"/>
  <c r="I216" i="8"/>
  <c r="I217" i="8"/>
  <c r="I218" i="8"/>
  <c r="I219" i="8"/>
  <c r="I220" i="8"/>
  <c r="I221" i="8"/>
  <c r="I222" i="8"/>
  <c r="I223" i="8"/>
  <c r="I224" i="8"/>
  <c r="I225" i="8"/>
  <c r="I226" i="8"/>
  <c r="I227" i="8"/>
  <c r="I228" i="8"/>
  <c r="I229" i="8"/>
  <c r="I230" i="8"/>
  <c r="I231" i="8"/>
  <c r="I232" i="8"/>
  <c r="I233" i="8"/>
  <c r="I234" i="8"/>
  <c r="I235" i="8"/>
  <c r="I236" i="8"/>
  <c r="I237" i="8"/>
  <c r="I238" i="8"/>
  <c r="I239" i="8"/>
  <c r="I240" i="8"/>
  <c r="I241" i="8"/>
  <c r="I242" i="8"/>
  <c r="I243" i="8"/>
  <c r="I244" i="8"/>
  <c r="I245" i="8"/>
  <c r="I246" i="8"/>
  <c r="I247" i="8"/>
  <c r="I248" i="8"/>
  <c r="I249" i="8"/>
  <c r="I250" i="8"/>
  <c r="I251" i="8"/>
  <c r="I252" i="8"/>
  <c r="I253" i="8"/>
  <c r="I254" i="8"/>
  <c r="I255" i="8"/>
  <c r="I256" i="8"/>
  <c r="I257" i="8"/>
  <c r="I258" i="8"/>
  <c r="I259" i="8"/>
  <c r="I260" i="8"/>
  <c r="I261" i="8"/>
  <c r="I262" i="8"/>
  <c r="I263" i="8"/>
  <c r="I264" i="8"/>
  <c r="I265" i="8"/>
  <c r="I266" i="8"/>
  <c r="I267" i="8"/>
  <c r="I268" i="8"/>
  <c r="I269" i="8"/>
  <c r="I270" i="8"/>
  <c r="I271" i="8"/>
  <c r="I272" i="8"/>
  <c r="I273" i="8"/>
  <c r="I274" i="8"/>
  <c r="I275" i="8"/>
  <c r="I276" i="8"/>
  <c r="I277" i="8"/>
  <c r="I278" i="8"/>
  <c r="I279" i="8"/>
  <c r="I280" i="8"/>
  <c r="I281" i="8"/>
  <c r="I282" i="8"/>
  <c r="I283" i="8"/>
  <c r="I284" i="8"/>
  <c r="I285" i="8"/>
  <c r="I286" i="8"/>
  <c r="I287" i="8"/>
  <c r="I288" i="8"/>
  <c r="I289" i="8"/>
  <c r="I290" i="8"/>
  <c r="I291" i="8"/>
  <c r="I292" i="8"/>
  <c r="I293" i="8"/>
  <c r="I294" i="8"/>
  <c r="I295" i="8"/>
  <c r="I296" i="8"/>
  <c r="I297" i="8"/>
  <c r="I298" i="8"/>
  <c r="I299" i="8"/>
  <c r="I300" i="8"/>
  <c r="I301" i="8"/>
  <c r="I302" i="8"/>
  <c r="I303" i="8"/>
  <c r="I304" i="8"/>
  <c r="I305" i="8"/>
  <c r="I306" i="8"/>
  <c r="I307" i="8"/>
  <c r="I308" i="8"/>
  <c r="I309" i="8"/>
  <c r="I310" i="8"/>
  <c r="I311" i="8"/>
  <c r="I312" i="8"/>
  <c r="I313" i="8"/>
  <c r="I314" i="8"/>
  <c r="I315" i="8"/>
  <c r="I316" i="8"/>
  <c r="I317" i="8"/>
  <c r="I318" i="8"/>
  <c r="I319" i="8"/>
  <c r="I320" i="8"/>
  <c r="I321" i="8"/>
  <c r="I322" i="8"/>
  <c r="I323" i="8"/>
  <c r="I324" i="8"/>
  <c r="I325" i="8"/>
  <c r="I326" i="8"/>
  <c r="I327" i="8"/>
  <c r="I328" i="8"/>
  <c r="I329" i="8"/>
  <c r="I330" i="8"/>
  <c r="I331" i="8"/>
  <c r="I332" i="8"/>
  <c r="I333" i="8"/>
  <c r="I334" i="8"/>
  <c r="I335" i="8"/>
  <c r="I336" i="8"/>
  <c r="I337" i="8"/>
  <c r="I338" i="8"/>
  <c r="I339" i="8"/>
  <c r="I340" i="8"/>
  <c r="I341" i="8"/>
  <c r="I342" i="8"/>
  <c r="I343" i="8"/>
  <c r="I344" i="8"/>
  <c r="I345" i="8"/>
  <c r="I346" i="8"/>
  <c r="I347" i="8"/>
  <c r="I348" i="8"/>
  <c r="I349" i="8"/>
  <c r="I350" i="8"/>
  <c r="I351" i="8"/>
  <c r="I352" i="8"/>
  <c r="I353" i="8"/>
  <c r="I354" i="8"/>
  <c r="I355" i="8"/>
  <c r="I356" i="8"/>
  <c r="I357" i="8"/>
  <c r="I358" i="8"/>
  <c r="I359" i="8"/>
  <c r="I360" i="8"/>
  <c r="I361" i="8"/>
  <c r="I362" i="8"/>
  <c r="I363" i="8"/>
  <c r="I364" i="8"/>
  <c r="I365" i="8"/>
  <c r="I366" i="8"/>
  <c r="I367" i="8"/>
  <c r="I368" i="8"/>
  <c r="I369" i="8"/>
  <c r="I370" i="8"/>
  <c r="I371" i="8"/>
  <c r="I372" i="8"/>
  <c r="I373" i="8"/>
  <c r="I374" i="8"/>
  <c r="I375" i="8"/>
  <c r="I376" i="8"/>
  <c r="I377" i="8"/>
  <c r="I378" i="8"/>
  <c r="I379" i="8"/>
  <c r="I380" i="8"/>
  <c r="I381" i="8"/>
  <c r="I382" i="8"/>
  <c r="I383" i="8"/>
  <c r="I384" i="8"/>
  <c r="I385" i="8"/>
  <c r="I386" i="8"/>
  <c r="I387" i="8"/>
  <c r="I388" i="8"/>
  <c r="I389" i="8"/>
  <c r="I390" i="8"/>
  <c r="I391" i="8"/>
  <c r="I392" i="8"/>
  <c r="I393" i="8"/>
  <c r="I394" i="8"/>
  <c r="I395" i="8"/>
  <c r="I396" i="8"/>
  <c r="I397" i="8"/>
  <c r="I398" i="8"/>
  <c r="I399" i="8"/>
  <c r="I400" i="8"/>
  <c r="I401" i="8"/>
  <c r="I402" i="8"/>
  <c r="I403" i="8"/>
  <c r="I404" i="8"/>
  <c r="I405" i="8"/>
  <c r="I406" i="8"/>
  <c r="I407" i="8"/>
  <c r="I408" i="8"/>
  <c r="I409" i="8"/>
  <c r="I410" i="8"/>
  <c r="I411" i="8"/>
  <c r="I412" i="8"/>
  <c r="I413" i="8"/>
  <c r="I414" i="8"/>
  <c r="I415" i="8"/>
  <c r="I416" i="8"/>
  <c r="I417" i="8"/>
  <c r="I418" i="8"/>
  <c r="I419" i="8"/>
  <c r="I420" i="8"/>
  <c r="I421" i="8"/>
  <c r="I422" i="8"/>
  <c r="I423" i="8"/>
  <c r="I424" i="8"/>
  <c r="I425" i="8"/>
  <c r="I426" i="8"/>
  <c r="I427" i="8"/>
  <c r="I428" i="8"/>
  <c r="I429" i="8"/>
  <c r="I430" i="8"/>
  <c r="I431" i="8"/>
  <c r="I432" i="8"/>
  <c r="I433" i="8"/>
  <c r="I434" i="8"/>
  <c r="I435" i="8"/>
  <c r="I436" i="8"/>
  <c r="I437" i="8"/>
  <c r="I438" i="8"/>
  <c r="I439" i="8"/>
  <c r="I440" i="8"/>
  <c r="I441" i="8"/>
  <c r="I442" i="8"/>
  <c r="I443" i="8"/>
  <c r="I444" i="8"/>
  <c r="I445" i="8"/>
  <c r="I446" i="8"/>
  <c r="I447" i="8"/>
  <c r="I448" i="8"/>
  <c r="I449" i="8"/>
  <c r="I450" i="8"/>
  <c r="I451" i="8"/>
  <c r="I452" i="8"/>
  <c r="I453" i="8"/>
  <c r="I454" i="8"/>
  <c r="I455" i="8"/>
  <c r="I456" i="8"/>
  <c r="I457" i="8"/>
  <c r="I458" i="8"/>
  <c r="I459" i="8"/>
  <c r="I460" i="8"/>
  <c r="I461" i="8"/>
  <c r="I462" i="8"/>
  <c r="I463" i="8"/>
  <c r="I464" i="8"/>
  <c r="I465" i="8"/>
  <c r="I466" i="8"/>
  <c r="I467" i="8"/>
  <c r="I468" i="8"/>
  <c r="I469" i="8"/>
  <c r="I470" i="8"/>
  <c r="I471" i="8"/>
  <c r="I472" i="8"/>
  <c r="I473" i="8"/>
  <c r="I474" i="8"/>
  <c r="I475" i="8"/>
  <c r="I476" i="8"/>
  <c r="I477" i="8"/>
  <c r="I478" i="8"/>
  <c r="I479" i="8"/>
  <c r="I480" i="8"/>
  <c r="I481" i="8"/>
  <c r="I482" i="8"/>
  <c r="I483" i="8"/>
  <c r="I484" i="8"/>
  <c r="I485" i="8"/>
  <c r="I538" i="8"/>
  <c r="I562"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578" i="8"/>
  <c r="J592"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509" i="8"/>
  <c r="H521" i="8"/>
  <c r="H529" i="8"/>
  <c r="H569" i="8"/>
  <c r="H577"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H486" i="8" s="1"/>
  <c r="F487" i="8"/>
  <c r="G487" i="8" s="1"/>
  <c r="F488" i="8"/>
  <c r="H488" i="8" s="1"/>
  <c r="F489" i="8"/>
  <c r="H489" i="8" s="1"/>
  <c r="F490" i="8"/>
  <c r="H490" i="8" s="1"/>
  <c r="F491" i="8"/>
  <c r="I491" i="8" s="1"/>
  <c r="F492" i="8"/>
  <c r="I492" i="8" s="1"/>
  <c r="F493" i="8"/>
  <c r="J493" i="8" s="1"/>
  <c r="F494" i="8"/>
  <c r="G494" i="8" s="1"/>
  <c r="F495" i="8"/>
  <c r="F496" i="8"/>
  <c r="G496" i="8" s="1"/>
  <c r="F497" i="8"/>
  <c r="G497" i="8" s="1"/>
  <c r="F498" i="8"/>
  <c r="H498" i="8" s="1"/>
  <c r="F499" i="8"/>
  <c r="G499" i="8" s="1"/>
  <c r="F500" i="8"/>
  <c r="H500" i="8" s="1"/>
  <c r="F501" i="8"/>
  <c r="H501" i="8" s="1"/>
  <c r="F502" i="8"/>
  <c r="H502" i="8" s="1"/>
  <c r="F503" i="8"/>
  <c r="I503" i="8" s="1"/>
  <c r="F504" i="8"/>
  <c r="I504" i="8" s="1"/>
  <c r="F505" i="8"/>
  <c r="I505" i="8" s="1"/>
  <c r="F506" i="8"/>
  <c r="G506" i="8" s="1"/>
  <c r="F507" i="8"/>
  <c r="G507" i="8" s="1"/>
  <c r="F508" i="8"/>
  <c r="G508" i="8" s="1"/>
  <c r="F509" i="8"/>
  <c r="G509" i="8" s="1"/>
  <c r="F510" i="8"/>
  <c r="H510" i="8" s="1"/>
  <c r="F511" i="8"/>
  <c r="G511" i="8" s="1"/>
  <c r="F512" i="8"/>
  <c r="H512" i="8" s="1"/>
  <c r="F513" i="8"/>
  <c r="H513" i="8" s="1"/>
  <c r="F514" i="8"/>
  <c r="H514" i="8" s="1"/>
  <c r="F515" i="8"/>
  <c r="I515" i="8" s="1"/>
  <c r="F516" i="8"/>
  <c r="I516" i="8" s="1"/>
  <c r="F517" i="8"/>
  <c r="I517" i="8" s="1"/>
  <c r="F518" i="8"/>
  <c r="G518" i="8" s="1"/>
  <c r="F519" i="8"/>
  <c r="G519" i="8" s="1"/>
  <c r="F520" i="8"/>
  <c r="G520" i="8" s="1"/>
  <c r="F521" i="8"/>
  <c r="G521" i="8" s="1"/>
  <c r="F522" i="8"/>
  <c r="J522" i="8" s="1"/>
  <c r="F523" i="8"/>
  <c r="G523" i="8" s="1"/>
  <c r="F524" i="8"/>
  <c r="H524" i="8" s="1"/>
  <c r="F525" i="8"/>
  <c r="J525" i="8" s="1"/>
  <c r="F526" i="8"/>
  <c r="J526" i="8" s="1"/>
  <c r="F527" i="8"/>
  <c r="I527" i="8" s="1"/>
  <c r="F528" i="8"/>
  <c r="I528" i="8" s="1"/>
  <c r="F529" i="8"/>
  <c r="I529" i="8" s="1"/>
  <c r="F530" i="8"/>
  <c r="G530" i="8" s="1"/>
  <c r="F531" i="8"/>
  <c r="G531" i="8" s="1"/>
  <c r="F532" i="8"/>
  <c r="G532" i="8" s="1"/>
  <c r="F533" i="8"/>
  <c r="G533" i="8" s="1"/>
  <c r="F534" i="8"/>
  <c r="H534" i="8" s="1"/>
  <c r="F535" i="8"/>
  <c r="G535" i="8" s="1"/>
  <c r="F536" i="8"/>
  <c r="H536" i="8" s="1"/>
  <c r="F537" i="8"/>
  <c r="J537" i="8" s="1"/>
  <c r="F538" i="8"/>
  <c r="H538" i="8" s="1"/>
  <c r="F539" i="8"/>
  <c r="I539" i="8" s="1"/>
  <c r="F540" i="8"/>
  <c r="I540" i="8" s="1"/>
  <c r="F541" i="8"/>
  <c r="I541" i="8" s="1"/>
  <c r="F542" i="8"/>
  <c r="G542" i="8" s="1"/>
  <c r="F543" i="8"/>
  <c r="G543" i="8" s="1"/>
  <c r="F544" i="8"/>
  <c r="G544" i="8" s="1"/>
  <c r="F545" i="8"/>
  <c r="G545" i="8" s="1"/>
  <c r="F546" i="8"/>
  <c r="H546" i="8" s="1"/>
  <c r="F547" i="8"/>
  <c r="G547" i="8" s="1"/>
  <c r="F548" i="8"/>
  <c r="H548" i="8" s="1"/>
  <c r="F549" i="8"/>
  <c r="H549" i="8" s="1"/>
  <c r="F550" i="8"/>
  <c r="H550" i="8" s="1"/>
  <c r="F551" i="8"/>
  <c r="I551" i="8" s="1"/>
  <c r="F552" i="8"/>
  <c r="I552" i="8" s="1"/>
  <c r="F553" i="8"/>
  <c r="I553" i="8" s="1"/>
  <c r="F554" i="8"/>
  <c r="G554" i="8" s="1"/>
  <c r="F555" i="8"/>
  <c r="G555" i="8" s="1"/>
  <c r="F556" i="8"/>
  <c r="G556" i="8" s="1"/>
  <c r="F557" i="8"/>
  <c r="G557" i="8" s="1"/>
  <c r="F558" i="8"/>
  <c r="H558" i="8" s="1"/>
  <c r="F559" i="8"/>
  <c r="G559" i="8" s="1"/>
  <c r="F560" i="8"/>
  <c r="H560" i="8" s="1"/>
  <c r="F561" i="8"/>
  <c r="H561" i="8" s="1"/>
  <c r="F562" i="8"/>
  <c r="H562" i="8" s="1"/>
  <c r="F563" i="8"/>
  <c r="I563" i="8" s="1"/>
  <c r="F564" i="8"/>
  <c r="I564" i="8" s="1"/>
  <c r="F565" i="8"/>
  <c r="J565" i="8" s="1"/>
  <c r="F566" i="8"/>
  <c r="G566" i="8" s="1"/>
  <c r="F567" i="8"/>
  <c r="G567" i="8" s="1"/>
  <c r="F568" i="8"/>
  <c r="G568" i="8" s="1"/>
  <c r="F569" i="8"/>
  <c r="G569" i="8" s="1"/>
  <c r="F570" i="8"/>
  <c r="H570" i="8" s="1"/>
  <c r="F571" i="8"/>
  <c r="G571" i="8" s="1"/>
  <c r="F572" i="8"/>
  <c r="H572" i="8" s="1"/>
  <c r="F573" i="8"/>
  <c r="H573" i="8" s="1"/>
  <c r="F574" i="8"/>
  <c r="H574" i="8" s="1"/>
  <c r="F575" i="8"/>
  <c r="I575" i="8" s="1"/>
  <c r="F576" i="8"/>
  <c r="I576" i="8" s="1"/>
  <c r="F577" i="8"/>
  <c r="I577" i="8" s="1"/>
  <c r="F578" i="8"/>
  <c r="G578" i="8" s="1"/>
  <c r="F579" i="8"/>
  <c r="F580" i="8"/>
  <c r="G580" i="8" s="1"/>
  <c r="F581" i="8"/>
  <c r="G581" i="8" s="1"/>
  <c r="F582" i="8"/>
  <c r="H582" i="8" s="1"/>
  <c r="F583" i="8"/>
  <c r="G583" i="8" s="1"/>
  <c r="F584" i="8"/>
  <c r="H584" i="8" s="1"/>
  <c r="F585" i="8"/>
  <c r="H585" i="8" s="1"/>
  <c r="F586" i="8"/>
  <c r="H586" i="8" s="1"/>
  <c r="F587" i="8"/>
  <c r="I587" i="8" s="1"/>
  <c r="F588" i="8"/>
  <c r="I588" i="8" s="1"/>
  <c r="F589" i="8"/>
  <c r="I589" i="8" s="1"/>
  <c r="F590" i="8"/>
  <c r="G590" i="8" s="1"/>
  <c r="F591" i="8"/>
  <c r="G591" i="8" s="1"/>
  <c r="F592" i="8"/>
  <c r="G592" i="8" s="1"/>
  <c r="F593" i="8"/>
  <c r="G593" i="8" s="1"/>
  <c r="F594" i="8"/>
  <c r="J594" i="8" s="1"/>
  <c r="F595" i="8"/>
  <c r="G595" i="8" s="1"/>
  <c r="F596" i="8"/>
  <c r="H596" i="8" s="1"/>
  <c r="F597" i="8"/>
  <c r="J597" i="8" s="1"/>
  <c r="F598" i="8"/>
  <c r="J598" i="8" s="1"/>
  <c r="F599" i="8"/>
  <c r="I599" i="8" s="1"/>
  <c r="F600" i="8"/>
  <c r="I600" i="8" s="1"/>
  <c r="F601" i="8"/>
  <c r="I601" i="8" s="1"/>
  <c r="F602" i="8"/>
  <c r="G602" i="8" s="1"/>
  <c r="F603" i="8"/>
  <c r="G603" i="8" s="1"/>
  <c r="F604" i="8"/>
  <c r="G604" i="8" s="1"/>
  <c r="F605" i="8"/>
  <c r="G605" i="8" s="1"/>
  <c r="F606" i="8"/>
  <c r="H606" i="8" s="1"/>
  <c r="F607" i="8"/>
  <c r="G607" i="8" s="1"/>
  <c r="F608" i="8"/>
  <c r="H608" i="8" s="1"/>
  <c r="F609" i="8"/>
  <c r="J609" i="8" s="1"/>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14" i="8"/>
  <c r="E15" i="8"/>
  <c r="D2" i="1"/>
  <c r="B5" i="1"/>
  <c r="D3" i="1"/>
  <c r="B3" i="1"/>
  <c r="B4" i="1"/>
  <c r="B6" i="1"/>
  <c r="B7" i="1"/>
  <c r="B8" i="1"/>
  <c r="B9" i="1"/>
  <c r="B10" i="1"/>
  <c r="B11" i="1"/>
  <c r="B12" i="1"/>
  <c r="B13" i="1"/>
  <c r="B2" i="1"/>
  <c r="E2" i="1" s="1"/>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B48" i="25" a="1"/>
  <c r="B48" i="25" s="1"/>
  <c r="E48" i="25" s="1" a="1"/>
  <c r="E48" i="25" s="1"/>
  <c r="D4" i="1"/>
  <c r="D5" i="1"/>
  <c r="D6" i="1"/>
  <c r="D7" i="1"/>
  <c r="D8" i="1"/>
  <c r="D9" i="1"/>
  <c r="D10" i="1"/>
  <c r="D11" i="1"/>
  <c r="D12" i="1"/>
  <c r="D13" i="1"/>
  <c r="G3" i="1"/>
  <c r="G5" i="1"/>
  <c r="G6" i="1"/>
  <c r="G7" i="1"/>
  <c r="G8" i="1"/>
  <c r="G9" i="1"/>
  <c r="G10" i="1"/>
  <c r="G11" i="1"/>
  <c r="G12" i="1"/>
  <c r="G13" i="1"/>
  <c r="J3" i="23"/>
  <c r="C4" i="23"/>
  <c r="C5" i="23"/>
  <c r="C6" i="23"/>
  <c r="C7" i="23"/>
  <c r="C8" i="23"/>
  <c r="C9" i="23"/>
  <c r="C10" i="23"/>
  <c r="C11" i="23"/>
  <c r="C12" i="23"/>
  <c r="C13" i="23"/>
  <c r="F5" i="23"/>
  <c r="F6" i="23"/>
  <c r="F7" i="23"/>
  <c r="F8" i="23"/>
  <c r="F9" i="23"/>
  <c r="F10" i="23"/>
  <c r="F11" i="23"/>
  <c r="F12" i="23"/>
  <c r="F13" i="23"/>
  <c r="F4" i="23"/>
  <c r="E4" i="20"/>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F4" i="20"/>
  <c r="S8" i="8" a="1"/>
  <c r="S6" i="8" a="1"/>
  <c r="S9" i="8" a="1"/>
  <c r="S5" i="8" a="1"/>
  <c r="S7" i="8" a="1"/>
  <c r="D73" i="25" l="1" a="1"/>
  <c r="D73" i="25" s="1"/>
  <c r="F73" i="25" s="1"/>
  <c r="H571" i="8"/>
  <c r="H523" i="8"/>
  <c r="J580" i="8"/>
  <c r="I550" i="8"/>
  <c r="G541" i="8"/>
  <c r="H565" i="8"/>
  <c r="H517" i="8"/>
  <c r="J550" i="8"/>
  <c r="I526" i="8"/>
  <c r="G517" i="8"/>
  <c r="H607" i="8"/>
  <c r="H559" i="8"/>
  <c r="H511" i="8"/>
  <c r="J544" i="8"/>
  <c r="I514" i="8"/>
  <c r="J579" i="8"/>
  <c r="J507" i="8"/>
  <c r="J495" i="8"/>
  <c r="H605" i="8"/>
  <c r="H557" i="8"/>
  <c r="J538" i="8"/>
  <c r="I502" i="8"/>
  <c r="G505" i="8"/>
  <c r="H601" i="8"/>
  <c r="H553" i="8"/>
  <c r="H505" i="8"/>
  <c r="I498" i="8"/>
  <c r="G495" i="8"/>
  <c r="H595" i="8"/>
  <c r="H547" i="8"/>
  <c r="H499" i="8"/>
  <c r="J523" i="8"/>
  <c r="I490" i="8"/>
  <c r="G493" i="8"/>
  <c r="H593" i="8"/>
  <c r="H545" i="8"/>
  <c r="H497" i="8"/>
  <c r="J520" i="8"/>
  <c r="I486" i="8"/>
  <c r="G601" i="8"/>
  <c r="H589" i="8"/>
  <c r="H541" i="8"/>
  <c r="H493" i="8"/>
  <c r="J508" i="8"/>
  <c r="I598" i="8"/>
  <c r="G589" i="8"/>
  <c r="H583" i="8"/>
  <c r="H535" i="8"/>
  <c r="H487" i="8"/>
  <c r="J607" i="8"/>
  <c r="J506" i="8"/>
  <c r="I586" i="8"/>
  <c r="G577" i="8"/>
  <c r="J583" i="8"/>
  <c r="J571" i="8"/>
  <c r="J547" i="8"/>
  <c r="J511" i="8"/>
  <c r="J499" i="8"/>
  <c r="J487" i="8"/>
  <c r="H581" i="8"/>
  <c r="H533" i="8"/>
  <c r="J595" i="8"/>
  <c r="J502" i="8"/>
  <c r="I574" i="8"/>
  <c r="G565" i="8"/>
  <c r="H604" i="8"/>
  <c r="H592" i="8"/>
  <c r="H580" i="8"/>
  <c r="H568" i="8"/>
  <c r="H556" i="8"/>
  <c r="H544" i="8"/>
  <c r="H532" i="8"/>
  <c r="H520" i="8"/>
  <c r="H508" i="8"/>
  <c r="H496" i="8"/>
  <c r="J606" i="8"/>
  <c r="J591" i="8"/>
  <c r="J577" i="8"/>
  <c r="J563" i="8"/>
  <c r="J549" i="8"/>
  <c r="J534" i="8"/>
  <c r="J519" i="8"/>
  <c r="J505" i="8"/>
  <c r="J491" i="8"/>
  <c r="I609" i="8"/>
  <c r="I597" i="8"/>
  <c r="I585" i="8"/>
  <c r="I573" i="8"/>
  <c r="I561" i="8"/>
  <c r="I549" i="8"/>
  <c r="I537" i="8"/>
  <c r="I525" i="8"/>
  <c r="I513" i="8"/>
  <c r="I501" i="8"/>
  <c r="I489" i="8"/>
  <c r="G600" i="8"/>
  <c r="G588" i="8"/>
  <c r="G576" i="8"/>
  <c r="G564" i="8"/>
  <c r="G552" i="8"/>
  <c r="G540" i="8"/>
  <c r="G528" i="8"/>
  <c r="G516" i="8"/>
  <c r="G504" i="8"/>
  <c r="G492" i="8"/>
  <c r="H603" i="8"/>
  <c r="H591" i="8"/>
  <c r="H579" i="8"/>
  <c r="H567" i="8"/>
  <c r="H555" i="8"/>
  <c r="H543" i="8"/>
  <c r="H531" i="8"/>
  <c r="H519" i="8"/>
  <c r="H507" i="8"/>
  <c r="H495" i="8"/>
  <c r="J604" i="8"/>
  <c r="J590" i="8"/>
  <c r="J576" i="8"/>
  <c r="J562" i="8"/>
  <c r="J532" i="8"/>
  <c r="J518" i="8"/>
  <c r="J504" i="8"/>
  <c r="J490" i="8"/>
  <c r="I608" i="8"/>
  <c r="I596" i="8"/>
  <c r="I584" i="8"/>
  <c r="I572" i="8"/>
  <c r="I560" i="8"/>
  <c r="I548" i="8"/>
  <c r="I536" i="8"/>
  <c r="I524" i="8"/>
  <c r="I512" i="8"/>
  <c r="I500" i="8"/>
  <c r="I488" i="8"/>
  <c r="G599" i="8"/>
  <c r="G587" i="8"/>
  <c r="G575" i="8"/>
  <c r="G563" i="8"/>
  <c r="G551" i="8"/>
  <c r="G539" i="8"/>
  <c r="G527" i="8"/>
  <c r="G515" i="8"/>
  <c r="G503" i="8"/>
  <c r="G491" i="8"/>
  <c r="H602" i="8"/>
  <c r="H590" i="8"/>
  <c r="H578" i="8"/>
  <c r="H566" i="8"/>
  <c r="H554" i="8"/>
  <c r="H542" i="8"/>
  <c r="H530" i="8"/>
  <c r="H518" i="8"/>
  <c r="H506" i="8"/>
  <c r="H494" i="8"/>
  <c r="J603" i="8"/>
  <c r="J589" i="8"/>
  <c r="J575" i="8"/>
  <c r="J561" i="8"/>
  <c r="J546" i="8"/>
  <c r="J531" i="8"/>
  <c r="J517" i="8"/>
  <c r="J503" i="8"/>
  <c r="I607" i="8"/>
  <c r="I595" i="8"/>
  <c r="I583" i="8"/>
  <c r="I571" i="8"/>
  <c r="I559" i="8"/>
  <c r="I547" i="8"/>
  <c r="I535" i="8"/>
  <c r="I523" i="8"/>
  <c r="I511" i="8"/>
  <c r="I499" i="8"/>
  <c r="I487" i="8"/>
  <c r="G598" i="8"/>
  <c r="G586" i="8"/>
  <c r="G574" i="8"/>
  <c r="G562" i="8"/>
  <c r="G550" i="8"/>
  <c r="G538" i="8"/>
  <c r="G526" i="8"/>
  <c r="G514" i="8"/>
  <c r="G502" i="8"/>
  <c r="G490" i="8"/>
  <c r="J564" i="8"/>
  <c r="J602" i="8"/>
  <c r="J588" i="8"/>
  <c r="J574" i="8"/>
  <c r="J559" i="8"/>
  <c r="J530" i="8"/>
  <c r="J516" i="8"/>
  <c r="I606" i="8"/>
  <c r="I594" i="8"/>
  <c r="I582" i="8"/>
  <c r="I570" i="8"/>
  <c r="I558" i="8"/>
  <c r="I546" i="8"/>
  <c r="I534" i="8"/>
  <c r="I522" i="8"/>
  <c r="I510" i="8"/>
  <c r="G609" i="8"/>
  <c r="G597" i="8"/>
  <c r="G585" i="8"/>
  <c r="G573" i="8"/>
  <c r="G561" i="8"/>
  <c r="G549" i="8"/>
  <c r="G537" i="8"/>
  <c r="G525" i="8"/>
  <c r="G513" i="8"/>
  <c r="G501" i="8"/>
  <c r="G489" i="8"/>
  <c r="H600" i="8"/>
  <c r="H588" i="8"/>
  <c r="H576" i="8"/>
  <c r="H564" i="8"/>
  <c r="H552" i="8"/>
  <c r="H540" i="8"/>
  <c r="H528" i="8"/>
  <c r="H516" i="8"/>
  <c r="H504" i="8"/>
  <c r="H492" i="8"/>
  <c r="J601" i="8"/>
  <c r="J587" i="8"/>
  <c r="J573" i="8"/>
  <c r="J558" i="8"/>
  <c r="J543" i="8"/>
  <c r="J529" i="8"/>
  <c r="J515" i="8"/>
  <c r="J501" i="8"/>
  <c r="I605" i="8"/>
  <c r="I593" i="8"/>
  <c r="I581" i="8"/>
  <c r="I569" i="8"/>
  <c r="I557" i="8"/>
  <c r="I545" i="8"/>
  <c r="I533" i="8"/>
  <c r="I521" i="8"/>
  <c r="I509" i="8"/>
  <c r="I497" i="8"/>
  <c r="G608" i="8"/>
  <c r="G596" i="8"/>
  <c r="G584" i="8"/>
  <c r="G572" i="8"/>
  <c r="G560" i="8"/>
  <c r="G548" i="8"/>
  <c r="G536" i="8"/>
  <c r="G524" i="8"/>
  <c r="G512" i="8"/>
  <c r="G500" i="8"/>
  <c r="G488" i="8"/>
  <c r="H599" i="8"/>
  <c r="H587" i="8"/>
  <c r="H575" i="8"/>
  <c r="H563" i="8"/>
  <c r="H551" i="8"/>
  <c r="H539" i="8"/>
  <c r="H527" i="8"/>
  <c r="H515" i="8"/>
  <c r="H503" i="8"/>
  <c r="H491" i="8"/>
  <c r="J600" i="8"/>
  <c r="J586" i="8"/>
  <c r="J556" i="8"/>
  <c r="J542" i="8"/>
  <c r="J528" i="8"/>
  <c r="J514" i="8"/>
  <c r="I604" i="8"/>
  <c r="I592" i="8"/>
  <c r="I580" i="8"/>
  <c r="I568" i="8"/>
  <c r="I556" i="8"/>
  <c r="I544" i="8"/>
  <c r="I532" i="8"/>
  <c r="I520" i="8"/>
  <c r="I508" i="8"/>
  <c r="I496" i="8"/>
  <c r="J492" i="8"/>
  <c r="H598" i="8"/>
  <c r="H526" i="8"/>
  <c r="J599" i="8"/>
  <c r="J585" i="8"/>
  <c r="J570" i="8"/>
  <c r="J555" i="8"/>
  <c r="J541" i="8"/>
  <c r="J527" i="8"/>
  <c r="J513" i="8"/>
  <c r="J498" i="8"/>
  <c r="I603" i="8"/>
  <c r="I591" i="8"/>
  <c r="I579" i="8"/>
  <c r="I567" i="8"/>
  <c r="I555" i="8"/>
  <c r="I543" i="8"/>
  <c r="I531" i="8"/>
  <c r="I519" i="8"/>
  <c r="I507" i="8"/>
  <c r="I495" i="8"/>
  <c r="G606" i="8"/>
  <c r="G594" i="8"/>
  <c r="G582" i="8"/>
  <c r="G570" i="8"/>
  <c r="G558" i="8"/>
  <c r="G546" i="8"/>
  <c r="G534" i="8"/>
  <c r="G522" i="8"/>
  <c r="G510" i="8"/>
  <c r="G498" i="8"/>
  <c r="G486" i="8"/>
  <c r="H609" i="8"/>
  <c r="H597" i="8"/>
  <c r="H537" i="8"/>
  <c r="H525" i="8"/>
  <c r="J568" i="8"/>
  <c r="J554" i="8"/>
  <c r="J540" i="8"/>
  <c r="J496" i="8"/>
  <c r="I602" i="8"/>
  <c r="I590" i="8"/>
  <c r="I578" i="8"/>
  <c r="I566" i="8"/>
  <c r="I554" i="8"/>
  <c r="I542" i="8"/>
  <c r="I530" i="8"/>
  <c r="I518" i="8"/>
  <c r="I506" i="8"/>
  <c r="I494" i="8"/>
  <c r="J489" i="8"/>
  <c r="J582" i="8"/>
  <c r="J567" i="8"/>
  <c r="J553" i="8"/>
  <c r="J539" i="8"/>
  <c r="J510" i="8"/>
  <c r="I565" i="8"/>
  <c r="I493" i="8"/>
  <c r="J608" i="8"/>
  <c r="J596" i="8"/>
  <c r="J584" i="8"/>
  <c r="J572" i="8"/>
  <c r="J560" i="8"/>
  <c r="J548" i="8"/>
  <c r="J536" i="8"/>
  <c r="J524" i="8"/>
  <c r="J512" i="8"/>
  <c r="J500" i="8"/>
  <c r="J488" i="8"/>
  <c r="J566" i="8"/>
  <c r="J552" i="8"/>
  <c r="J494" i="8"/>
  <c r="G579" i="8"/>
  <c r="H594" i="8"/>
  <c r="H522" i="8"/>
  <c r="J551" i="8"/>
  <c r="B8" i="8"/>
  <c r="S5" i="8"/>
  <c r="S6" i="8"/>
  <c r="S7" i="8"/>
  <c r="S8" i="8"/>
  <c r="S9" i="8"/>
  <c r="G485" i="8"/>
  <c r="G484" i="8"/>
  <c r="G483" i="8"/>
  <c r="G482" i="8"/>
  <c r="G481" i="8"/>
  <c r="G480" i="8"/>
  <c r="G479" i="8"/>
  <c r="G478" i="8"/>
  <c r="G477" i="8"/>
  <c r="G476" i="8"/>
  <c r="G475" i="8"/>
  <c r="G474" i="8"/>
  <c r="G473" i="8"/>
  <c r="G472" i="8"/>
  <c r="G471" i="8"/>
  <c r="G470" i="8"/>
  <c r="G469" i="8"/>
  <c r="G468" i="8"/>
  <c r="G467" i="8"/>
  <c r="G466" i="8"/>
  <c r="G465" i="8"/>
  <c r="G464" i="8"/>
  <c r="G463" i="8"/>
  <c r="G462" i="8"/>
  <c r="G461" i="8"/>
  <c r="G460" i="8"/>
  <c r="G459" i="8"/>
  <c r="G458" i="8"/>
  <c r="G457" i="8"/>
  <c r="G456" i="8"/>
  <c r="G455" i="8"/>
  <c r="G454" i="8"/>
  <c r="G453" i="8"/>
  <c r="G452" i="8"/>
  <c r="G451" i="8"/>
  <c r="G450" i="8"/>
  <c r="G449" i="8"/>
  <c r="G448" i="8"/>
  <c r="G447" i="8"/>
  <c r="G446" i="8"/>
  <c r="G445" i="8"/>
  <c r="G444" i="8"/>
  <c r="G443" i="8"/>
  <c r="G442" i="8"/>
  <c r="G441" i="8"/>
  <c r="G440" i="8"/>
  <c r="G439" i="8"/>
  <c r="G438" i="8"/>
  <c r="G437" i="8"/>
  <c r="G436" i="8"/>
  <c r="G435" i="8"/>
  <c r="G434" i="8"/>
  <c r="G433" i="8"/>
  <c r="G432" i="8"/>
  <c r="G431" i="8"/>
  <c r="G430" i="8"/>
  <c r="G429" i="8"/>
  <c r="G428" i="8"/>
  <c r="G427" i="8"/>
  <c r="G426" i="8"/>
  <c r="G425" i="8"/>
  <c r="G424" i="8"/>
  <c r="G423" i="8"/>
  <c r="G422" i="8"/>
  <c r="G421" i="8"/>
  <c r="G420" i="8"/>
  <c r="G419" i="8"/>
  <c r="G418" i="8"/>
  <c r="G417" i="8"/>
  <c r="G416" i="8"/>
  <c r="G415" i="8"/>
  <c r="G414" i="8"/>
  <c r="G413" i="8"/>
  <c r="G412" i="8"/>
  <c r="G411" i="8"/>
  <c r="G410" i="8"/>
  <c r="G409" i="8"/>
  <c r="G408" i="8"/>
  <c r="G407" i="8"/>
  <c r="G406" i="8"/>
  <c r="G405" i="8"/>
  <c r="G404" i="8"/>
  <c r="G403" i="8"/>
  <c r="G402" i="8"/>
  <c r="G401" i="8"/>
  <c r="G400" i="8"/>
  <c r="G399" i="8"/>
  <c r="G398" i="8"/>
  <c r="G397" i="8"/>
  <c r="G396" i="8"/>
  <c r="G395" i="8"/>
  <c r="G394" i="8"/>
  <c r="G393" i="8"/>
  <c r="G392" i="8"/>
  <c r="G391" i="8"/>
  <c r="G390" i="8"/>
  <c r="G389" i="8"/>
  <c r="G388" i="8"/>
  <c r="G387" i="8"/>
  <c r="G386" i="8"/>
  <c r="G385" i="8"/>
  <c r="G384" i="8"/>
  <c r="G383" i="8"/>
  <c r="G382" i="8"/>
  <c r="G381" i="8"/>
  <c r="G380" i="8"/>
  <c r="G379" i="8"/>
  <c r="G378" i="8"/>
  <c r="G377" i="8"/>
  <c r="G376" i="8"/>
  <c r="G375" i="8"/>
  <c r="G374" i="8"/>
  <c r="G373" i="8"/>
  <c r="G372" i="8"/>
  <c r="G371" i="8"/>
  <c r="G370" i="8"/>
  <c r="G369" i="8"/>
  <c r="G368" i="8"/>
  <c r="G367" i="8"/>
  <c r="G366" i="8"/>
  <c r="G365" i="8"/>
  <c r="G364" i="8"/>
  <c r="G363" i="8"/>
  <c r="G362" i="8"/>
  <c r="G361" i="8"/>
  <c r="G360" i="8"/>
  <c r="G359" i="8"/>
  <c r="G358" i="8"/>
  <c r="G357" i="8"/>
  <c r="G356" i="8"/>
  <c r="G355" i="8"/>
  <c r="G354" i="8"/>
  <c r="G353" i="8"/>
  <c r="G352" i="8"/>
  <c r="G351" i="8"/>
  <c r="G350" i="8"/>
  <c r="G349" i="8"/>
  <c r="G348" i="8"/>
  <c r="G347" i="8"/>
  <c r="G346" i="8"/>
  <c r="G345" i="8"/>
  <c r="G344" i="8"/>
  <c r="G343" i="8"/>
  <c r="G342" i="8"/>
  <c r="G341" i="8"/>
  <c r="G340" i="8"/>
  <c r="G339" i="8"/>
  <c r="G338" i="8"/>
  <c r="G337" i="8"/>
  <c r="G336" i="8"/>
  <c r="G335" i="8"/>
  <c r="G334" i="8"/>
  <c r="G333" i="8"/>
  <c r="G332" i="8"/>
  <c r="G331" i="8"/>
  <c r="G330" i="8"/>
  <c r="G329" i="8"/>
  <c r="G328" i="8"/>
  <c r="G327" i="8"/>
  <c r="G326" i="8"/>
  <c r="G325" i="8"/>
  <c r="G324" i="8"/>
  <c r="G323" i="8"/>
  <c r="G322" i="8"/>
  <c r="G321" i="8"/>
  <c r="G320" i="8"/>
  <c r="G319" i="8"/>
  <c r="G318" i="8"/>
  <c r="G317" i="8"/>
  <c r="G316" i="8"/>
  <c r="G315" i="8"/>
  <c r="G314" i="8"/>
  <c r="G313" i="8"/>
  <c r="G312" i="8"/>
  <c r="G311" i="8"/>
  <c r="G310" i="8"/>
  <c r="G309" i="8"/>
  <c r="G308" i="8"/>
  <c r="G307" i="8"/>
  <c r="G306" i="8"/>
  <c r="G305" i="8"/>
  <c r="G304" i="8"/>
  <c r="G303" i="8"/>
  <c r="G302" i="8"/>
  <c r="G301" i="8"/>
  <c r="G300" i="8"/>
  <c r="G299" i="8"/>
  <c r="G298" i="8"/>
  <c r="G297" i="8"/>
  <c r="G296" i="8"/>
  <c r="G295" i="8"/>
  <c r="G294" i="8"/>
  <c r="G293" i="8"/>
  <c r="G292" i="8"/>
  <c r="G291" i="8"/>
  <c r="G290" i="8"/>
  <c r="G289" i="8"/>
  <c r="G288" i="8"/>
  <c r="G287" i="8"/>
  <c r="G286" i="8"/>
  <c r="G285" i="8"/>
  <c r="G284" i="8"/>
  <c r="G283" i="8"/>
  <c r="G282" i="8"/>
  <c r="G281" i="8"/>
  <c r="G280" i="8"/>
  <c r="G279" i="8"/>
  <c r="G278" i="8"/>
  <c r="G277" i="8"/>
  <c r="G276" i="8"/>
  <c r="G275" i="8"/>
  <c r="G274" i="8"/>
  <c r="G273" i="8"/>
  <c r="G272" i="8"/>
  <c r="G271" i="8"/>
  <c r="G270" i="8"/>
  <c r="G269" i="8"/>
  <c r="G268" i="8"/>
  <c r="G267" i="8"/>
  <c r="G266" i="8"/>
  <c r="G265" i="8"/>
  <c r="G264" i="8"/>
  <c r="G263" i="8"/>
  <c r="G262" i="8"/>
  <c r="G261" i="8"/>
  <c r="G260" i="8"/>
  <c r="G259" i="8"/>
  <c r="G258" i="8"/>
  <c r="G257" i="8"/>
  <c r="G256" i="8"/>
  <c r="G255" i="8"/>
  <c r="G254" i="8"/>
  <c r="G253" i="8"/>
  <c r="G252" i="8"/>
  <c r="G251" i="8"/>
  <c r="G250" i="8"/>
  <c r="G249" i="8"/>
  <c r="G248" i="8"/>
  <c r="G247" i="8"/>
  <c r="G246" i="8"/>
  <c r="G245" i="8"/>
  <c r="G244" i="8"/>
  <c r="G243" i="8"/>
  <c r="G242" i="8"/>
  <c r="G241" i="8"/>
  <c r="G240" i="8"/>
  <c r="G239" i="8"/>
  <c r="G238" i="8"/>
  <c r="G237" i="8"/>
  <c r="G236" i="8"/>
  <c r="G235" i="8"/>
  <c r="G234" i="8"/>
  <c r="G233" i="8"/>
  <c r="G232" i="8"/>
  <c r="G231" i="8"/>
  <c r="G230" i="8"/>
  <c r="G229" i="8"/>
  <c r="G228" i="8"/>
  <c r="G227" i="8"/>
  <c r="G226" i="8"/>
  <c r="G225" i="8"/>
  <c r="G224" i="8"/>
  <c r="G223" i="8"/>
  <c r="G222" i="8"/>
  <c r="G221" i="8"/>
  <c r="G220" i="8"/>
  <c r="G219" i="8"/>
  <c r="G218" i="8"/>
  <c r="G217" i="8"/>
  <c r="G216" i="8"/>
  <c r="G215" i="8"/>
  <c r="G214" i="8"/>
  <c r="G213" i="8"/>
  <c r="G212" i="8"/>
  <c r="G211" i="8"/>
  <c r="G210" i="8"/>
  <c r="G209" i="8"/>
  <c r="G208" i="8"/>
  <c r="G207" i="8"/>
  <c r="G206" i="8"/>
  <c r="G205" i="8"/>
  <c r="G204" i="8"/>
  <c r="G203" i="8"/>
  <c r="G202" i="8"/>
  <c r="G201" i="8"/>
  <c r="G200" i="8"/>
  <c r="G199" i="8"/>
  <c r="G198" i="8"/>
  <c r="G197" i="8"/>
  <c r="G196" i="8"/>
  <c r="G195" i="8"/>
  <c r="G194" i="8"/>
  <c r="G193" i="8"/>
  <c r="G192" i="8"/>
  <c r="G191" i="8"/>
  <c r="G190" i="8"/>
  <c r="G189" i="8"/>
  <c r="G188" i="8"/>
  <c r="G187" i="8"/>
  <c r="G186" i="8"/>
  <c r="G185" i="8"/>
  <c r="G184" i="8"/>
  <c r="G183" i="8"/>
  <c r="G182" i="8"/>
  <c r="G181" i="8"/>
  <c r="G180" i="8"/>
  <c r="G179" i="8"/>
  <c r="G178" i="8"/>
  <c r="G177" i="8"/>
  <c r="G176" i="8"/>
  <c r="G175" i="8"/>
  <c r="G174" i="8"/>
  <c r="G173" i="8"/>
  <c r="G172" i="8"/>
  <c r="G171" i="8"/>
  <c r="G170" i="8"/>
  <c r="G169" i="8"/>
  <c r="G168" i="8"/>
  <c r="G167" i="8"/>
  <c r="G166" i="8"/>
  <c r="G165" i="8"/>
  <c r="G164" i="8"/>
  <c r="G163" i="8"/>
  <c r="G162" i="8"/>
  <c r="G161" i="8"/>
  <c r="G160" i="8"/>
  <c r="G159" i="8"/>
  <c r="G158" i="8"/>
  <c r="G157" i="8"/>
  <c r="G156" i="8"/>
  <c r="G155" i="8"/>
  <c r="G154" i="8"/>
  <c r="G153" i="8"/>
  <c r="G152" i="8"/>
  <c r="G151" i="8"/>
  <c r="G150" i="8"/>
  <c r="G149" i="8"/>
  <c r="G148" i="8"/>
  <c r="G147" i="8"/>
  <c r="G146" i="8"/>
  <c r="G145" i="8"/>
  <c r="G144" i="8"/>
  <c r="G143" i="8"/>
  <c r="G142" i="8"/>
  <c r="G141" i="8"/>
  <c r="G140" i="8"/>
  <c r="G139" i="8"/>
  <c r="G138" i="8"/>
  <c r="G137" i="8"/>
  <c r="G136" i="8"/>
  <c r="G135" i="8"/>
  <c r="G134" i="8"/>
  <c r="G133" i="8"/>
  <c r="G132" i="8"/>
  <c r="G131" i="8"/>
  <c r="G130" i="8"/>
  <c r="G129" i="8"/>
  <c r="G128" i="8"/>
  <c r="G127" i="8"/>
  <c r="G126" i="8"/>
  <c r="G125" i="8"/>
  <c r="G124" i="8"/>
  <c r="G123" i="8"/>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4" i="1"/>
  <c r="C48" i="25" a="1"/>
  <c r="C48" i="25" s="1"/>
  <c r="D48" i="25" a="1"/>
  <c r="D48" i="25" s="1"/>
  <c r="F48" i="25" s="1" a="1"/>
  <c r="F48" i="25" s="1"/>
  <c r="J21" i="8"/>
  <c r="F2" i="1"/>
  <c r="E13" i="1"/>
  <c r="F13" i="1" s="1"/>
  <c r="L13" i="1" s="1"/>
  <c r="E12" i="1"/>
  <c r="F12" i="1" s="1"/>
  <c r="L12" i="1" s="1"/>
  <c r="E11" i="1"/>
  <c r="F11" i="1" s="1"/>
  <c r="L11" i="1" s="1"/>
  <c r="E10" i="1"/>
  <c r="F10" i="1" s="1"/>
  <c r="L10" i="1" s="1"/>
  <c r="E9" i="1"/>
  <c r="F9" i="1" s="1"/>
  <c r="L9" i="1" s="1"/>
  <c r="E8" i="1"/>
  <c r="F8" i="1" s="1"/>
  <c r="L8" i="1" s="1"/>
  <c r="E7" i="1"/>
  <c r="F7" i="1" s="1"/>
  <c r="L7" i="1" s="1"/>
  <c r="E5" i="20"/>
  <c r="E3" i="1" s="1"/>
  <c r="F3" i="1" s="1"/>
  <c r="L3" i="1" s="1"/>
  <c r="E6" i="20"/>
  <c r="E7" i="20"/>
  <c r="E8" i="20"/>
  <c r="B5" i="17" a="1"/>
  <c r="B5" i="17" s="1"/>
  <c r="E7" i="16"/>
  <c r="C6" i="9"/>
  <c r="C17" i="9" s="1"/>
  <c r="C19" i="9" s="1"/>
  <c r="H19" i="9" s="1"/>
  <c r="C20" i="9" s="1"/>
  <c r="G2" i="1" l="1"/>
  <c r="L2" i="1" s="1"/>
  <c r="I48" i="25" a="1"/>
  <c r="I48" i="25" s="1"/>
  <c r="F59" i="25" s="1"/>
  <c r="G21" i="8"/>
  <c r="H21" i="8"/>
  <c r="B59" i="25" a="1"/>
  <c r="B59" i="25" s="1"/>
  <c r="C59" i="25" s="1" a="1"/>
  <c r="C59" i="25" s="1"/>
  <c r="G48" i="25" a="1"/>
  <c r="G48" i="25" s="1"/>
  <c r="H48" i="25" s="1" a="1"/>
  <c r="H48" i="25" s="1"/>
  <c r="D5" i="17" a="1"/>
  <c r="D5" i="17" s="1"/>
  <c r="E5" i="17" a="1"/>
  <c r="E5" i="17" s="1"/>
  <c r="I21" i="8"/>
  <c r="G44" i="8"/>
  <c r="I44" i="8"/>
  <c r="H44" i="8"/>
  <c r="I42" i="8"/>
  <c r="H42" i="8"/>
  <c r="G42" i="8"/>
  <c r="G46" i="8"/>
  <c r="I46" i="8"/>
  <c r="H46" i="8"/>
  <c r="H30" i="8"/>
  <c r="I30" i="8"/>
  <c r="G30" i="8"/>
  <c r="I16" i="8"/>
  <c r="H16" i="8"/>
  <c r="G16" i="8"/>
  <c r="H36" i="8"/>
  <c r="G36" i="8"/>
  <c r="I36" i="8"/>
  <c r="G33" i="8"/>
  <c r="I33" i="8"/>
  <c r="H33" i="8"/>
  <c r="G22" i="8"/>
  <c r="H22" i="8"/>
  <c r="I22" i="8"/>
  <c r="H24" i="8"/>
  <c r="G24" i="8"/>
  <c r="I24" i="8"/>
  <c r="I31" i="8"/>
  <c r="H31" i="8"/>
  <c r="G31" i="8"/>
  <c r="H26" i="8"/>
  <c r="G26" i="8"/>
  <c r="I26" i="8"/>
  <c r="H50" i="8"/>
  <c r="G50" i="8"/>
  <c r="I50" i="8"/>
  <c r="G51" i="8"/>
  <c r="I51" i="8"/>
  <c r="H51" i="8"/>
  <c r="I39" i="8"/>
  <c r="H39" i="8"/>
  <c r="G39" i="8"/>
  <c r="I54" i="8"/>
  <c r="H54" i="8"/>
  <c r="G54" i="8"/>
  <c r="H43" i="8"/>
  <c r="I43" i="8"/>
  <c r="G43" i="8"/>
  <c r="H48" i="8"/>
  <c r="G48" i="8"/>
  <c r="I48" i="8"/>
  <c r="I47" i="8"/>
  <c r="G47" i="8"/>
  <c r="H47" i="8"/>
  <c r="I28" i="8"/>
  <c r="H28" i="8"/>
  <c r="G28" i="8"/>
  <c r="G32" i="8"/>
  <c r="I32" i="8"/>
  <c r="H32" i="8"/>
  <c r="G23" i="8"/>
  <c r="I23" i="8"/>
  <c r="H23" i="8"/>
  <c r="H25" i="8"/>
  <c r="G25" i="8"/>
  <c r="I25" i="8"/>
  <c r="I52" i="8"/>
  <c r="H52" i="8"/>
  <c r="G52" i="8"/>
  <c r="H38" i="8"/>
  <c r="G38" i="8"/>
  <c r="I38" i="8"/>
  <c r="G34" i="8"/>
  <c r="I34" i="8"/>
  <c r="H34" i="8"/>
  <c r="G35" i="8"/>
  <c r="I35" i="8"/>
  <c r="H35" i="8"/>
  <c r="H37" i="8"/>
  <c r="G37" i="8"/>
  <c r="I37" i="8"/>
  <c r="I29" i="8"/>
  <c r="H29" i="8"/>
  <c r="G29" i="8"/>
  <c r="I40" i="8"/>
  <c r="H40" i="8"/>
  <c r="G40" i="8"/>
  <c r="G45" i="8"/>
  <c r="I45" i="8"/>
  <c r="H45" i="8"/>
  <c r="G27" i="8"/>
  <c r="H27" i="8"/>
  <c r="I27" i="8"/>
  <c r="H15" i="8"/>
  <c r="G15" i="8"/>
  <c r="H49" i="8"/>
  <c r="G49" i="8"/>
  <c r="I49" i="8"/>
  <c r="I53" i="8"/>
  <c r="G53" i="8"/>
  <c r="H53" i="8"/>
  <c r="I41" i="8"/>
  <c r="G41" i="8"/>
  <c r="H41" i="8"/>
  <c r="J15" i="8"/>
  <c r="I15" i="8"/>
  <c r="J16" i="8"/>
  <c r="E6" i="1"/>
  <c r="F6" i="1" s="1"/>
  <c r="L6" i="1" s="1"/>
  <c r="E5" i="1"/>
  <c r="F5" i="1" s="1"/>
  <c r="L5" i="1" s="1"/>
  <c r="E4" i="1"/>
  <c r="F4" i="1" s="1"/>
  <c r="L4" i="1" s="1"/>
  <c r="C5" i="17" a="1"/>
  <c r="C5" i="17" s="1"/>
  <c r="H7" i="16"/>
  <c r="C3" i="1"/>
  <c r="D59" i="25" l="1" a="1"/>
  <c r="D59" i="25" s="1"/>
  <c r="F5" i="17" a="1"/>
  <c r="F5" i="17" s="1"/>
  <c r="I5" i="17" s="1" a="1"/>
  <c r="I5" i="17" s="1"/>
  <c r="E54" i="17" s="1"/>
  <c r="G5" i="17" a="1"/>
  <c r="G5" i="17" s="1"/>
  <c r="J20" i="8"/>
  <c r="G20" i="8"/>
  <c r="I20" i="8"/>
  <c r="H20" i="8"/>
  <c r="H18" i="8"/>
  <c r="G18" i="8"/>
  <c r="I18" i="8"/>
  <c r="G17" i="8"/>
  <c r="I17" i="8"/>
  <c r="H17" i="8"/>
  <c r="J19" i="8"/>
  <c r="I19" i="8"/>
  <c r="H19" i="8"/>
  <c r="G19" i="8"/>
  <c r="J18" i="8"/>
  <c r="J17" i="8"/>
  <c r="C4" i="1"/>
  <c r="B54" i="17" a="1"/>
  <c r="B54" i="17" s="1"/>
  <c r="C5" i="1" l="1"/>
  <c r="C6" i="1" s="1"/>
  <c r="C7" i="1" s="1"/>
  <c r="C8" i="1" s="1"/>
  <c r="C9" i="1" s="1"/>
  <c r="C10" i="1" s="1"/>
  <c r="C11" i="1" s="1"/>
  <c r="C12" i="1" s="1"/>
  <c r="C13" i="1" s="1"/>
  <c r="C54" i="17" a="1"/>
  <c r="C54" i="17" s="1"/>
  <c r="H5" i="17" a="1"/>
  <c r="H5" i="17" s="1"/>
  <c r="C22" i="9"/>
  <c r="G14" i="8"/>
  <c r="B5" i="8" s="1"/>
  <c r="E14" i="8"/>
  <c r="B4" i="8" s="1"/>
  <c r="I14" i="8" l="1"/>
  <c r="B7" i="8" s="1"/>
  <c r="H14" i="8"/>
  <c r="B6" i="8" s="1"/>
  <c r="J14" i="8"/>
  <c r="B9" i="8"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6"/>
        </ext>
      </extLst>
    </bk>
    <bk>
      <extLst>
        <ext uri="{3e2802c4-a4d2-4d8b-9148-e3be6c30e623}">
          <xlrd:rvb i="9"/>
        </ext>
      </extLst>
    </bk>
    <bk>
      <extLst>
        <ext uri="{3e2802c4-a4d2-4d8b-9148-e3be6c30e623}">
          <xlrd:rvb i="15"/>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<sst xmlns="http://schemas.openxmlformats.org/spreadsheetml/2006/main" count="275" uniqueCount="166">
  <si>
    <t>Date:</t>
  </si>
  <si>
    <t>John Doe</t>
  </si>
  <si>
    <t>Month</t>
  </si>
  <si>
    <t>Day</t>
  </si>
  <si>
    <t>Allowance (Month)</t>
  </si>
  <si>
    <t>Allowance Left (Month)</t>
  </si>
  <si>
    <t>Allowance (Day)</t>
  </si>
  <si>
    <t>Allowance Left (Day)</t>
  </si>
  <si>
    <t>Spent (Day)</t>
  </si>
  <si>
    <t>Total Spent (Month)</t>
  </si>
  <si>
    <t>Salary</t>
  </si>
  <si>
    <t>Average Monthly Recurring Expenses</t>
  </si>
  <si>
    <t>Current Holdings</t>
  </si>
  <si>
    <t>Stock</t>
  </si>
  <si>
    <t>Industry</t>
  </si>
  <si>
    <t>Shares</t>
  </si>
  <si>
    <t>Price (Share)</t>
  </si>
  <si>
    <t>Market Value</t>
  </si>
  <si>
    <t>Today's Change</t>
  </si>
  <si>
    <t>Gain/(Loss)</t>
  </si>
  <si>
    <t>Portfolio by Industry</t>
  </si>
  <si>
    <t>Overview</t>
  </si>
  <si>
    <t>Nett Gain/(Loss)</t>
  </si>
  <si>
    <t>Liabilities</t>
  </si>
  <si>
    <t>Category</t>
  </si>
  <si>
    <t>Amount</t>
  </si>
  <si>
    <t>Total Liabilities</t>
  </si>
  <si>
    <t>Sample Text to add row</t>
  </si>
  <si>
    <t>BUY</t>
  </si>
  <si>
    <t>SELL</t>
  </si>
  <si>
    <t>Guide</t>
  </si>
  <si>
    <t>Date</t>
  </si>
  <si>
    <t>Transaction</t>
  </si>
  <si>
    <t>Share Price ($)</t>
  </si>
  <si>
    <t>Currency</t>
  </si>
  <si>
    <t>Transaction Amount</t>
  </si>
  <si>
    <t>DRIP</t>
  </si>
  <si>
    <t>This Ledger is used to keep track of your investment history which includes the</t>
  </si>
  <si>
    <t>SGD</t>
  </si>
  <si>
    <t>stocks, transaction type, shares, price, the currency type, the transaction amount</t>
  </si>
  <si>
    <t>and the date the transaction was made. To use it, click on Add Stock to Ledger to</t>
  </si>
  <si>
    <t>add a new row. From there fill in the inputs and excel will determine the relevant fields.</t>
  </si>
  <si>
    <t>Total</t>
  </si>
  <si>
    <t>Liability</t>
  </si>
  <si>
    <t>Paid(Y/N)</t>
  </si>
  <si>
    <t>Golden Village Movie (Encanto)</t>
  </si>
  <si>
    <t>One-Time Payment</t>
  </si>
  <si>
    <t>Y</t>
  </si>
  <si>
    <t>Disney+ Subscription (January)</t>
  </si>
  <si>
    <t>Subscription</t>
  </si>
  <si>
    <t>N</t>
  </si>
  <si>
    <t>Purchased Headphones (WH-1000XM4)</t>
  </si>
  <si>
    <t>Unpaid Amount</t>
  </si>
  <si>
    <t>Reccuring Expenses</t>
  </si>
  <si>
    <t>Frequency</t>
  </si>
  <si>
    <t>Last Paid</t>
  </si>
  <si>
    <t>Car Downpayment</t>
  </si>
  <si>
    <t>Annually</t>
  </si>
  <si>
    <t>Disney+ Subscription</t>
  </si>
  <si>
    <t>Monthly</t>
  </si>
  <si>
    <t>House Downpayment</t>
  </si>
  <si>
    <t>Downpayment</t>
  </si>
  <si>
    <t>Monthly Average</t>
  </si>
  <si>
    <t xml:space="preserve">CPF Contributions </t>
  </si>
  <si>
    <t>Column</t>
  </si>
  <si>
    <t xml:space="preserve">Total </t>
  </si>
  <si>
    <t>Total Income</t>
  </si>
  <si>
    <t>Screenshot</t>
  </si>
  <si>
    <t>Total OA Contribution</t>
  </si>
  <si>
    <t>Vlookup</t>
  </si>
  <si>
    <t>G14</t>
  </si>
  <si>
    <t>Total SA Contribution</t>
  </si>
  <si>
    <t>Enter Date, Age, Oridinary Wage and Additonal Wage on each column</t>
  </si>
  <si>
    <t>Combine of Vlookup &amp;IF Else</t>
  </si>
  <si>
    <t>F14</t>
  </si>
  <si>
    <t>Total MA Contribution</t>
  </si>
  <si>
    <t>And the system will automatically calculate for you and to find out more</t>
  </si>
  <si>
    <t>Formula</t>
  </si>
  <si>
    <t>B8</t>
  </si>
  <si>
    <t>Total CPF Contribution</t>
  </si>
  <si>
    <t>CPF Click Here to find out more.</t>
  </si>
  <si>
    <t>B9</t>
  </si>
  <si>
    <t>Total Balance After CPF</t>
  </si>
  <si>
    <t>SUM</t>
  </si>
  <si>
    <t>B7</t>
  </si>
  <si>
    <t>Age</t>
  </si>
  <si>
    <t>Oridinary Wage</t>
  </si>
  <si>
    <t>Additional Wage</t>
  </si>
  <si>
    <t>Total Wage</t>
  </si>
  <si>
    <t>Oridnary Account(OA)</t>
  </si>
  <si>
    <t>Special Account(SA)</t>
  </si>
  <si>
    <t>MediSave Account(MA)</t>
  </si>
  <si>
    <t>Remaining Balance</t>
  </si>
  <si>
    <t> </t>
  </si>
  <si>
    <t>Balance</t>
  </si>
  <si>
    <t>Raw Monthly Salary</t>
  </si>
  <si>
    <t>CPF</t>
  </si>
  <si>
    <t>Salary After CPF</t>
  </si>
  <si>
    <t>Investment Spent</t>
  </si>
  <si>
    <t>Liabilities paid</t>
  </si>
  <si>
    <t>Side Earnings</t>
  </si>
  <si>
    <t>Spendings</t>
  </si>
  <si>
    <t>Net Profit</t>
  </si>
  <si>
    <t>Please use the Liabiilities and Investments tabs on the bottom left to input the Liabilities and Investments respectively.</t>
  </si>
  <si>
    <t xml:space="preserve">Total CPF Contributions </t>
  </si>
  <si>
    <t>Min Age</t>
  </si>
  <si>
    <t>Max Age</t>
  </si>
  <si>
    <t>By Employer</t>
  </si>
  <si>
    <t>By Employee</t>
  </si>
  <si>
    <t>Maximum Total</t>
  </si>
  <si>
    <t>Maximum Employee</t>
  </si>
  <si>
    <t xml:space="preserve">CPF Contributions And Allocation Rates </t>
  </si>
  <si>
    <t>Employee Age</t>
  </si>
  <si>
    <t>Credited To</t>
  </si>
  <si>
    <t>MinAge</t>
  </si>
  <si>
    <t>Oridnary Account</t>
  </si>
  <si>
    <t>Special Account</t>
  </si>
  <si>
    <t>Medisave Account</t>
  </si>
  <si>
    <t>Spending</t>
  </si>
  <si>
    <t>Total spent and allowance</t>
  </si>
  <si>
    <t>Spent</t>
  </si>
  <si>
    <t>Allowance</t>
  </si>
  <si>
    <t>Total spent</t>
  </si>
  <si>
    <t>Income Tax (Yearly 2021)</t>
  </si>
  <si>
    <t xml:space="preserve">Income </t>
  </si>
  <si>
    <t>Less: Personal Reliefs</t>
  </si>
  <si>
    <t>Employment Income</t>
  </si>
  <si>
    <t>Earned income relief</t>
  </si>
  <si>
    <t>Less:Employment Expenses</t>
  </si>
  <si>
    <t>Spouse/handicapped spouse relief</t>
  </si>
  <si>
    <t>Net Employment Income</t>
  </si>
  <si>
    <t>Qualifying/handicapped child relief</t>
  </si>
  <si>
    <t>Working mother's child relief</t>
  </si>
  <si>
    <t>Parent/handicapped parent relief</t>
  </si>
  <si>
    <t>Trade, Business, Profession or Vocation</t>
  </si>
  <si>
    <t>Grandparent caregiver relief</t>
  </si>
  <si>
    <t>Handicapped brother/sister relief</t>
  </si>
  <si>
    <t>Add: Other Income</t>
  </si>
  <si>
    <t>CPF/provident Fund relief</t>
  </si>
  <si>
    <t>Dividends</t>
  </si>
  <si>
    <t>Life Insurance relief</t>
  </si>
  <si>
    <t xml:space="preserve">Interest </t>
  </si>
  <si>
    <t>Course fees relief</t>
  </si>
  <si>
    <t>Rent From Property</t>
  </si>
  <si>
    <t>Foreign domestic worker levy relief</t>
  </si>
  <si>
    <t>Royalty, Charge, Estate/Trust Income</t>
  </si>
  <si>
    <t>CPF cash top-up relief (self, dependant and Medisave account)</t>
  </si>
  <si>
    <t>Gains or Profits of an Income Nature</t>
  </si>
  <si>
    <t>Supplementary Retirement Scheme (SRS) relief</t>
  </si>
  <si>
    <t>NSman(Self/wife/parent) relief</t>
  </si>
  <si>
    <t>Less: Approved Donations</t>
  </si>
  <si>
    <t>Total Personal Reliefs (capped at $80,000)</t>
  </si>
  <si>
    <t>Assesable Income</t>
  </si>
  <si>
    <t>Total Chargeable Income</t>
  </si>
  <si>
    <t>Tax Payable On Chargeable Income</t>
  </si>
  <si>
    <t>Less: Parenthood Tax Rebate</t>
  </si>
  <si>
    <t>Net Tax Payable</t>
  </si>
  <si>
    <t>Income Tax 2021</t>
  </si>
  <si>
    <t>Testing Purpose</t>
  </si>
  <si>
    <t>First</t>
  </si>
  <si>
    <t>First Tax Payable</t>
  </si>
  <si>
    <t>Next</t>
  </si>
  <si>
    <t>Rate</t>
  </si>
  <si>
    <t>Second Tax Payable</t>
  </si>
  <si>
    <t>Original Value</t>
  </si>
  <si>
    <t>Tax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</si>
</sst>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6" formatCode="&quot;$&quot;#,##0.00;\-&quot;$&quot;#,##0.00"/>
    <numFmt numFmtId="167" formatCode="&quot;$&quot;#,##0.00;[Red]\-&quot;$&quot;#,##0.00"/>
    <numFmt numFmtId="168" formatCode="_-&quot;$&quot;* #,##0.00_-;\-&quot;$&quot;* #,##0.00_-;_-&quot;$&quot;* &quot;-&quot;??_-;_-@_-"/>
    <numFmt numFmtId="169" formatCode="&quot;$&quot;#,##0.00"/>
    <numFmt numFmtId="170" formatCode="[$$-409]#,##0.00"/>
    <numFmt numFmtId="171" formatCode="_-&quot;$&quot;* #,##0_-;\-&quot;$&quot;* #,##0_-;_-&quot;$&quot;* &quot;-&quot;??_-;_-@_-"/>
    <numFmt numFmtId="172" formatCode="0.0%"/>
    <numFmt numFmtId="173" formatCode="0.0000"/>
    <numFmt numFmtId="174" formatCode="mmmm"/>
    <numFmt numFmtId="175" formatCode="[$-F800]dddd\,\ mmmm\ dd\,\ yyyy"/>
  </numFmts>
  <fonts count="32">
    <font>
      <sz val="11"/>
      <color theme="1"/>
      <name val="Calibri"/>
      <family val="2"/>
      <scheme val="minor"/>
    </font>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1"/>
      <color rgb="FFFFFFFF"/>
      <name val="Calibri"/>
      <family val="2"/>
    </font>
    <font>
      <b/>
      <sz val="20"/>
      <color theme="0"/>
      <name val="Calibri"/>
      <family val="2"/>
      <scheme val="minor"/>
    </font>
    <font>
      <b/>
      <sz val="12"/>
      <name val="Arial"/>
      <family val="2"/>
    </font>
    <font>
      <b/>
      <sz val="11"/>
      <name val="Arial"/>
      <family val="2"/>
    </font>
    <font>
      <sz val="11"/>
      <name val="Calibri"/>
      <family val="2"/>
    </font>
    <font>
      <sz val="11"/>
      <name val="Arial"/>
      <family val="2"/>
    </font>
    <font>
      <sz val="11"/>
      <color rgb="FF000000"/>
      <name val="Arial"/>
      <family val="2"/>
    </font>
    <font>
      <u/>
      <sz val="11"/>
      <color rgb="FF0563C1"/>
      <name val="Arial"/>
      <family val="2"/>
    </font>
    <font>
      <b/>
      <sz val="11"/>
      <color rgb="FF000000"/>
      <name val="Calibri"/>
      <family val="2"/>
    </font>
    <font>
      <sz val="11"/>
      <color rgb="FF0000FF"/>
      <name val="Arial"/>
      <family val="2"/>
    </font>
    <font>
      <sz val="11"/>
      <color rgb="FF0563C1"/>
      <name val="Arial"/>
      <family val="2"/>
    </font>
    <font>
      <sz val="11"/>
      <color rgb="FF000000"/>
      <name val="Calibri"/>
      <family val="2"/>
      <scheme val="minor"/>
    </font>
    <font>
      <b/>
      <sz val="14"/>
      <color theme="1"/>
      <name val="Calibri"/>
      <family val="2"/>
      <scheme val="minor"/>
    </font>
    <font>
      <b/>
      <sz val="18"/>
      <color theme="0"/>
      <name val="Calibri"/>
      <family val="2"/>
      <scheme val="minor"/>
    </font>
    <font>
      <sz val="14"/>
      <color theme="1"/>
      <name val="Calibri"/>
      <family val="2"/>
      <scheme val="minor"/>
    </font>
    <font>
      <b/>
      <sz val="11"/>
      <color theme="1"/>
      <name val="Calibri"/>
      <family val="2"/>
      <scheme val="minor"/>
    </font>
    <font>
      <b/>
      <sz val="16"/>
      <color theme="1"/>
      <name val="Calibri"/>
      <family val="2"/>
      <scheme val="minor"/>
    </font>
    <font>
      <sz val="10"/>
      <name val="Arial"/>
      <family val="2"/>
    </font>
    <font>
      <sz val="11"/>
      <name val="Calibri "/>
    </font>
    <font>
      <sz val="12"/>
      <color theme="1"/>
      <name val="Calibri"/>
      <family val="2"/>
      <scheme val="minor"/>
    </font>
    <font>
      <sz val="8"/>
      <name val="Calibri"/>
      <family val="2"/>
      <scheme val="minor"/>
    </font>
    <font>
      <sz val="15"/>
      <color theme="1"/>
      <name val="Arial"/>
      <family val="2"/>
    </font>
    <font>
      <sz val="12"/>
      <color theme="1"/>
      <name val="Arial"/>
      <family val="2"/>
    </font>
    <font>
      <b/>
      <sz val="13"/>
      <color theme="1"/>
      <name val="Arial"/>
      <family val="2"/>
    </font>
    <font>
      <sz val="13"/>
      <color theme="1"/>
      <name val="Arial"/>
      <family val="2"/>
    </font>
    <font>
      <sz val="11"/>
      <color rgb="FFFFFFFF"/>
      <name val="Calibri"/>
      <family val="2"/>
      <scheme val="minor"/>
    </font>
    <font>
      <u/>
      <sz val="11"/>
      <color theme="10"/>
      <name val="Calibri"/>
      <family val="2"/>
      <scheme val="minor"/>
    </font>
  </fonts>
  <fills count="19">
    <fill>
      <patternFill patternType="none"/>
    </fill>
    <fill>
      <patternFill patternType="gray125"/>
    </fill>
    <fill>
      <patternFill patternType="solid">
        <fgColor theme="4"/>
      </patternFill>
    </fill>
    <fill>
      <patternFill patternType="solid">
        <fgColor theme="4" tint="0.59999389629810485"/>
        <bgColor indexed="65"/>
      </patternFill>
    </fill>
    <fill>
      <patternFill patternType="solid">
        <fgColor theme="9"/>
      </patternFill>
    </fill>
    <fill>
      <patternFill patternType="solid">
        <fgColor rgb="FF4472C4"/>
        <bgColor rgb="FF000000"/>
      </patternFill>
    </fill>
    <fill>
      <patternFill patternType="solid">
        <fgColor rgb="FFFFFFFF"/>
        <bgColor rgb="FF000000"/>
      </patternFill>
    </fill>
    <fill>
      <patternFill patternType="solid">
        <fgColor rgb="FFB4C6E7"/>
        <bgColor rgb="FF000000"/>
      </patternFill>
    </fill>
    <fill>
      <patternFill patternType="solid">
        <fgColor rgb="FFD9E1F2"/>
        <bgColor indexed="64"/>
      </patternFill>
    </fill>
    <fill>
      <patternFill patternType="solid">
        <fgColor rgb="FFFFFFFF"/>
        <bgColor indexed="64"/>
      </patternFill>
    </fill>
    <fill>
      <patternFill patternType="solid">
        <fgColor rgb="FFB4C6E7"/>
        <bgColor indexed="64"/>
      </patternFill>
    </fill>
    <fill>
      <patternFill patternType="solid">
        <fgColor theme="4" tint="0.79998168889431442"/>
        <bgColor rgb="FF000000"/>
      </patternFill>
    </fill>
    <fill>
      <patternFill patternType="solid">
        <fgColor theme="4" tint="0.59999389629810485"/>
        <bgColor indexed="64"/>
      </patternFill>
    </fill>
    <fill>
      <patternFill patternType="solid">
        <fgColor theme="9" tint="0.79998168889431442"/>
        <bgColor indexed="65"/>
      </patternFill>
    </fill>
    <fill>
      <patternFill patternType="solid">
        <fgColor theme="9" tint="0.39997558519241921"/>
        <bgColor indexed="65"/>
      </patternFill>
    </fill>
    <fill>
      <patternFill patternType="solid">
        <fgColor theme="8" tint="0.79998168889431442"/>
        <bgColor indexed="65"/>
      </patternFill>
    </fill>
    <fill>
      <patternFill patternType="solid">
        <fgColor theme="0"/>
        <bgColor indexed="64"/>
      </patternFill>
    </fill>
    <fill>
      <patternFill patternType="solid">
        <fgColor rgb="FFC00000"/>
        <bgColor indexed="64"/>
      </patternFill>
    </fill>
    <fill>
      <patternFill patternType="solid">
        <fgColor rgb="FFA8BCEA"/>
        <bgColor indexed="64"/>
      </patternFill>
    </fill>
  </fills>
  <borders count="20">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ck">
        <color auto="1"/>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s>
  <cellStyleXfs count="9">
    <xf numFmtId="0" fontId="0" fillId="0" borderId="0"/>
    <xf numFmtId="0" fontId="3"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22" fillId="0" borderId="0"/>
    <xf numFmtId="0" fontId="31" fillId="0" borderId="0" applyNumberFormat="0" applyFill="0" applyBorder="0" applyAlignment="0" applyProtection="0"/>
  </cellStyleXfs>
  <cellXfs count="183">
    <xf numFmtId="0" fontId="0" fillId="0" borderId="0" xfId="0"/>
    <xf numFmtId="0" fontId="3" fillId="2" borderId="0" xfId="1" applyAlignment="1">
      <alignment horizontal="center"/>
    </xf>
    <xf numFmtId="0" fontId="3" fillId="2" borderId="0" xfId="1" applyAlignment="1"/>
    <xf numFmtId="0" fontId="0" fillId="0" borderId="0" xfId="0" applyAlignment="1">
      <alignment wrapText="1"/>
    </xf>
    <xf numFmtId="169" fontId="2" fillId="3" borderId="0" xfId="2" applyNumberFormat="1"/>
    <xf numFmtId="169" fontId="0" fillId="3" borderId="0" xfId="2" applyNumberFormat="1" applyFont="1"/>
    <xf numFmtId="169" fontId="0" fillId="3" borderId="0" xfId="2" applyNumberFormat="1" applyFont="1" applyAlignment="1">
      <alignment wrapText="1"/>
    </xf>
    <xf numFmtId="14" fontId="0" fillId="0" borderId="0" xfId="0" applyNumberFormat="1"/>
    <xf numFmtId="0" fontId="4" fillId="0" borderId="4" xfId="0" applyFont="1" applyBorder="1"/>
    <xf numFmtId="0" fontId="5" fillId="5" borderId="4" xfId="0" applyFont="1" applyFill="1" applyBorder="1" applyAlignment="1">
      <alignment vertical="center"/>
    </xf>
    <xf numFmtId="0" fontId="5" fillId="5" borderId="3" xfId="0" applyFont="1" applyFill="1" applyBorder="1" applyAlignment="1">
      <alignment horizontal="center" vertical="center"/>
    </xf>
    <xf numFmtId="0" fontId="5" fillId="5" borderId="3" xfId="0" applyFont="1" applyFill="1" applyBorder="1" applyAlignment="1">
      <alignment horizontal="center" vertical="center" wrapText="1"/>
    </xf>
    <xf numFmtId="0" fontId="4" fillId="6" borderId="0" xfId="0" applyFont="1" applyFill="1"/>
    <xf numFmtId="0" fontId="8" fillId="6" borderId="0" xfId="0" applyFont="1" applyFill="1"/>
    <xf numFmtId="0" fontId="10" fillId="6" borderId="0" xfId="0" applyFont="1" applyFill="1"/>
    <xf numFmtId="167" fontId="10" fillId="6" borderId="0" xfId="0" applyNumberFormat="1" applyFont="1" applyFill="1"/>
    <xf numFmtId="168" fontId="11" fillId="7" borderId="3" xfId="0" applyNumberFormat="1" applyFont="1" applyFill="1" applyBorder="1"/>
    <xf numFmtId="168" fontId="4" fillId="7" borderId="3" xfId="0" applyNumberFormat="1" applyFont="1" applyFill="1" applyBorder="1"/>
    <xf numFmtId="168" fontId="4" fillId="0" borderId="7" xfId="0" applyNumberFormat="1" applyFont="1" applyBorder="1"/>
    <xf numFmtId="0" fontId="9" fillId="8" borderId="5" xfId="0" applyFont="1" applyFill="1" applyBorder="1" applyAlignment="1">
      <alignment horizontal="center"/>
    </xf>
    <xf numFmtId="0" fontId="4" fillId="8" borderId="5" xfId="0" applyFont="1" applyFill="1" applyBorder="1" applyAlignment="1">
      <alignment horizontal="center"/>
    </xf>
    <xf numFmtId="0" fontId="10" fillId="8" borderId="5" xfId="0" applyFont="1" applyFill="1" applyBorder="1" applyAlignment="1">
      <alignment horizontal="center"/>
    </xf>
    <xf numFmtId="168" fontId="4" fillId="0" borderId="0" xfId="0" applyNumberFormat="1" applyFont="1"/>
    <xf numFmtId="0" fontId="4" fillId="9" borderId="0" xfId="0" applyFont="1" applyFill="1"/>
    <xf numFmtId="0" fontId="11" fillId="9" borderId="0" xfId="0" applyFont="1" applyFill="1"/>
    <xf numFmtId="0" fontId="16" fillId="9" borderId="0" xfId="0" applyFont="1" applyFill="1"/>
    <xf numFmtId="168" fontId="16" fillId="9" borderId="0" xfId="0" applyNumberFormat="1" applyFont="1" applyFill="1"/>
    <xf numFmtId="0" fontId="0" fillId="9" borderId="0" xfId="0" applyFill="1"/>
    <xf numFmtId="0" fontId="8" fillId="9" borderId="0" xfId="0" applyFont="1" applyFill="1"/>
    <xf numFmtId="0" fontId="10" fillId="9" borderId="0" xfId="0" applyFont="1" applyFill="1"/>
    <xf numFmtId="0" fontId="12" fillId="9" borderId="0" xfId="0" applyFont="1" applyFill="1"/>
    <xf numFmtId="0" fontId="15" fillId="9" borderId="0" xfId="0" applyFont="1" applyFill="1"/>
    <xf numFmtId="0" fontId="14" fillId="9" borderId="0" xfId="0" applyFont="1" applyFill="1"/>
    <xf numFmtId="0" fontId="9" fillId="8" borderId="5" xfId="0" applyFont="1" applyFill="1" applyBorder="1" applyAlignment="1">
      <alignment horizontal="left" indent="1"/>
    </xf>
    <xf numFmtId="0" fontId="4" fillId="8" borderId="5" xfId="0" applyFont="1" applyFill="1" applyBorder="1" applyAlignment="1">
      <alignment horizontal="left" indent="1"/>
    </xf>
    <xf numFmtId="0" fontId="8" fillId="8" borderId="6" xfId="0" applyFont="1" applyFill="1" applyBorder="1"/>
    <xf numFmtId="0" fontId="13" fillId="8" borderId="6" xfId="0" applyFont="1" applyFill="1" applyBorder="1"/>
    <xf numFmtId="0" fontId="4" fillId="10" borderId="4" xfId="0" applyFont="1" applyFill="1" applyBorder="1"/>
    <xf numFmtId="0" fontId="4" fillId="10" borderId="3" xfId="0" applyFont="1" applyFill="1" applyBorder="1" applyAlignment="1">
      <alignment horizontal="center"/>
    </xf>
    <xf numFmtId="0" fontId="13" fillId="10" borderId="4" xfId="0" applyFont="1" applyFill="1" applyBorder="1"/>
    <xf numFmtId="0" fontId="5" fillId="9" borderId="0" xfId="0" applyFont="1" applyFill="1"/>
    <xf numFmtId="167" fontId="4" fillId="9" borderId="0" xfId="0" applyNumberFormat="1" applyFont="1" applyFill="1"/>
    <xf numFmtId="168" fontId="4" fillId="7" borderId="7" xfId="0" applyNumberFormat="1" applyFont="1" applyFill="1" applyBorder="1"/>
    <xf numFmtId="0" fontId="4" fillId="10" borderId="2" xfId="0" applyFont="1" applyFill="1" applyBorder="1" applyAlignment="1">
      <alignment horizontal="center"/>
    </xf>
    <xf numFmtId="168" fontId="4" fillId="7" borderId="3" xfId="0" applyNumberFormat="1" applyFont="1" applyFill="1" applyBorder="1" applyProtection="1">
      <protection locked="0"/>
    </xf>
    <xf numFmtId="0" fontId="4" fillId="11" borderId="6" xfId="0" applyFont="1" applyFill="1" applyBorder="1"/>
    <xf numFmtId="168" fontId="4" fillId="7" borderId="6" xfId="0" applyNumberFormat="1" applyFont="1" applyFill="1" applyBorder="1"/>
    <xf numFmtId="170" fontId="0" fillId="0" borderId="0" xfId="0" applyNumberFormat="1"/>
    <xf numFmtId="49" fontId="0" fillId="0" borderId="0" xfId="0" applyNumberFormat="1"/>
    <xf numFmtId="171" fontId="11" fillId="9" borderId="0" xfId="0" applyNumberFormat="1" applyFont="1" applyFill="1"/>
    <xf numFmtId="0" fontId="0" fillId="0" borderId="10" xfId="0" applyBorder="1"/>
    <xf numFmtId="0" fontId="0" fillId="0" borderId="10" xfId="0" applyBorder="1" applyAlignment="1">
      <alignment horizontal="center"/>
    </xf>
    <xf numFmtId="169" fontId="0" fillId="0" borderId="0" xfId="0" applyNumberFormat="1"/>
    <xf numFmtId="0" fontId="0" fillId="12" borderId="0" xfId="0" applyFill="1"/>
    <xf numFmtId="0" fontId="17" fillId="12" borderId="0" xfId="0" applyFont="1" applyFill="1"/>
    <xf numFmtId="0" fontId="0" fillId="0" borderId="0" xfId="0" applyAlignment="1">
      <alignment horizontal="left"/>
    </xf>
    <xf numFmtId="169" fontId="0" fillId="0" borderId="0" xfId="0" applyNumberFormat="1" applyAlignment="1">
      <alignment horizontal="left"/>
    </xf>
    <xf numFmtId="10" fontId="0" fillId="0" borderId="0" xfId="0" applyNumberFormat="1" applyAlignment="1">
      <alignment horizontal="left"/>
    </xf>
    <xf numFmtId="0" fontId="0" fillId="0" borderId="10" xfId="0" applyBorder="1" applyAlignment="1">
      <alignment horizontal="left"/>
    </xf>
    <xf numFmtId="1" fontId="0" fillId="0" borderId="0" xfId="0" applyNumberFormat="1" applyAlignment="1">
      <alignment horizontal="left"/>
    </xf>
    <xf numFmtId="10" fontId="0" fillId="0" borderId="0" xfId="0" applyNumberFormat="1"/>
    <xf numFmtId="3" fontId="0" fillId="0" borderId="0" xfId="0" applyNumberFormat="1"/>
    <xf numFmtId="168" fontId="0" fillId="0" borderId="0" xfId="0" applyNumberFormat="1"/>
    <xf numFmtId="0" fontId="4" fillId="0" borderId="0" xfId="0" applyFont="1"/>
    <xf numFmtId="0" fontId="5" fillId="0" borderId="0" xfId="0" applyFont="1"/>
    <xf numFmtId="167" fontId="4" fillId="0" borderId="0" xfId="0" applyNumberFormat="1" applyFont="1"/>
    <xf numFmtId="0" fontId="0" fillId="0" borderId="6" xfId="0" applyBorder="1"/>
    <xf numFmtId="168" fontId="4" fillId="0" borderId="3" xfId="0" applyNumberFormat="1" applyFont="1" applyBorder="1" applyAlignment="1">
      <alignment horizontal="center"/>
    </xf>
    <xf numFmtId="0" fontId="0" fillId="16" borderId="0" xfId="0" applyFill="1"/>
    <xf numFmtId="0" fontId="0" fillId="0" borderId="0" xfId="0" applyAlignment="1">
      <alignment vertical="center"/>
    </xf>
    <xf numFmtId="0" fontId="20" fillId="0" borderId="0" xfId="0" applyFont="1"/>
    <xf numFmtId="0" fontId="21" fillId="0" borderId="0" xfId="0" applyFont="1"/>
    <xf numFmtId="0" fontId="0" fillId="0" borderId="0" xfId="0" applyAlignment="1">
      <alignment vertical="top"/>
    </xf>
    <xf numFmtId="0" fontId="3" fillId="0" borderId="0" xfId="1" applyFill="1" applyAlignment="1">
      <alignment horizontal="center"/>
    </xf>
    <xf numFmtId="0" fontId="2" fillId="0" borderId="0" xfId="2" applyFill="1"/>
    <xf numFmtId="17" fontId="2" fillId="0" borderId="0" xfId="2" applyNumberFormat="1" applyFill="1"/>
    <xf numFmtId="14" fontId="2" fillId="0" borderId="0" xfId="2" applyNumberFormat="1" applyFill="1"/>
    <xf numFmtId="0" fontId="2" fillId="17" borderId="0" xfId="2" applyFill="1"/>
    <xf numFmtId="0" fontId="0" fillId="17" borderId="0" xfId="2" applyFont="1" applyFill="1"/>
    <xf numFmtId="17" fontId="0" fillId="17" borderId="0" xfId="2" applyNumberFormat="1" applyFont="1" applyFill="1"/>
    <xf numFmtId="0" fontId="0" fillId="17" borderId="0" xfId="0" applyFill="1"/>
    <xf numFmtId="0" fontId="0" fillId="0" borderId="0" xfId="2" applyFont="1" applyFill="1"/>
    <xf numFmtId="168" fontId="4" fillId="0" borderId="9" xfId="0" applyNumberFormat="1" applyFont="1" applyBorder="1"/>
    <xf numFmtId="168" fontId="0" fillId="0" borderId="6" xfId="0" applyNumberFormat="1" applyBorder="1"/>
    <xf numFmtId="174" fontId="2" fillId="3" borderId="0" xfId="2" applyNumberFormat="1"/>
    <xf numFmtId="1" fontId="2" fillId="3" borderId="0" xfId="2" applyNumberFormat="1" applyAlignment="1">
      <alignment horizontal="right"/>
    </xf>
    <xf numFmtId="0" fontId="0" fillId="0" borderId="6" xfId="0" applyBorder="1" applyAlignment="1">
      <alignment horizontal="center"/>
    </xf>
    <xf numFmtId="10" fontId="0" fillId="16" borderId="0" xfId="0" applyNumberFormat="1" applyFill="1"/>
    <xf numFmtId="168" fontId="0" fillId="16" borderId="0" xfId="0" applyNumberFormat="1" applyFill="1"/>
    <xf numFmtId="0" fontId="0" fillId="16" borderId="6" xfId="0" applyFill="1" applyBorder="1" applyAlignment="1">
      <alignment horizontal="center"/>
    </xf>
    <xf numFmtId="0" fontId="0" fillId="16" borderId="6" xfId="0" applyFill="1" applyBorder="1"/>
    <xf numFmtId="10" fontId="0" fillId="16" borderId="6" xfId="0" applyNumberFormat="1" applyFill="1" applyBorder="1"/>
    <xf numFmtId="168" fontId="0" fillId="16" borderId="6" xfId="0" applyNumberFormat="1" applyFill="1" applyBorder="1"/>
    <xf numFmtId="10" fontId="0" fillId="16" borderId="6" xfId="0" applyNumberFormat="1" applyFill="1" applyBorder="1" applyAlignment="1">
      <alignment horizontal="center"/>
    </xf>
    <xf numFmtId="0" fontId="0" fillId="16" borderId="6" xfId="0" applyFill="1" applyBorder="1" applyAlignment="1">
      <alignment horizontal="center" vertical="center"/>
    </xf>
    <xf numFmtId="10" fontId="0" fillId="16" borderId="6" xfId="0" applyNumberFormat="1" applyFill="1" applyBorder="1" applyAlignment="1">
      <alignment horizontal="center" vertical="center"/>
    </xf>
    <xf numFmtId="168" fontId="0" fillId="16" borderId="6" xfId="0" applyNumberFormat="1" applyFill="1" applyBorder="1" applyAlignment="1">
      <alignment horizontal="center" vertical="center"/>
    </xf>
    <xf numFmtId="173" fontId="0" fillId="16" borderId="6" xfId="0" applyNumberFormat="1" applyFill="1" applyBorder="1"/>
    <xf numFmtId="169" fontId="0" fillId="16" borderId="0" xfId="0" applyNumberFormat="1" applyFill="1"/>
    <xf numFmtId="169" fontId="0" fillId="0" borderId="6" xfId="0" applyNumberFormat="1" applyBorder="1" applyAlignment="1">
      <alignment horizontal="center"/>
    </xf>
    <xf numFmtId="172" fontId="0" fillId="0" borderId="6" xfId="0" applyNumberFormat="1" applyBorder="1"/>
    <xf numFmtId="168" fontId="23" fillId="0" borderId="6" xfId="7" applyNumberFormat="1" applyFont="1" applyBorder="1" applyAlignment="1">
      <alignment horizontal="center" vertical="top" wrapText="1"/>
    </xf>
    <xf numFmtId="168" fontId="10" fillId="0" borderId="6" xfId="7" applyNumberFormat="1" applyFont="1" applyBorder="1" applyAlignment="1">
      <alignment horizontal="center" vertical="top" wrapText="1"/>
    </xf>
    <xf numFmtId="168" fontId="4" fillId="0" borderId="6" xfId="0" applyNumberFormat="1" applyFont="1" applyBorder="1"/>
    <xf numFmtId="0" fontId="5" fillId="5" borderId="4" xfId="0" applyFont="1" applyFill="1" applyBorder="1" applyAlignment="1">
      <alignment horizontal="center" vertical="center"/>
    </xf>
    <xf numFmtId="0" fontId="4" fillId="16" borderId="0" xfId="0" applyFont="1" applyFill="1"/>
    <xf numFmtId="0" fontId="5" fillId="16" borderId="0" xfId="0" applyFont="1" applyFill="1" applyAlignment="1">
      <alignment wrapText="1"/>
    </xf>
    <xf numFmtId="1" fontId="26" fillId="0" borderId="0" xfId="0" applyNumberFormat="1" applyFont="1" applyAlignment="1">
      <alignment horizontal="center" vertical="center"/>
    </xf>
    <xf numFmtId="0" fontId="27" fillId="0" borderId="13" xfId="0" applyFont="1" applyBorder="1"/>
    <xf numFmtId="0" fontId="24" fillId="0" borderId="13" xfId="0" applyFont="1" applyBorder="1"/>
    <xf numFmtId="0" fontId="28" fillId="0" borderId="0" xfId="0" applyFont="1"/>
    <xf numFmtId="0" fontId="29" fillId="0" borderId="13" xfId="0" applyFont="1" applyBorder="1"/>
    <xf numFmtId="0" fontId="29" fillId="0" borderId="13" xfId="0" applyFont="1" applyBorder="1" applyAlignment="1">
      <alignment horizontal="left"/>
    </xf>
    <xf numFmtId="0" fontId="29" fillId="0" borderId="13" xfId="0" applyFont="1" applyBorder="1" applyAlignment="1">
      <alignment horizontal="center"/>
    </xf>
    <xf numFmtId="1" fontId="0" fillId="0" borderId="0" xfId="0" applyNumberFormat="1"/>
    <xf numFmtId="0" fontId="4" fillId="9" borderId="7" xfId="0" applyFont="1" applyFill="1" applyBorder="1"/>
    <xf numFmtId="0" fontId="4" fillId="9" borderId="14" xfId="0" applyFont="1" applyFill="1" applyBorder="1"/>
    <xf numFmtId="0" fontId="4" fillId="9" borderId="15" xfId="0" applyFont="1" applyFill="1" applyBorder="1"/>
    <xf numFmtId="0" fontId="4" fillId="9" borderId="16" xfId="0" applyFont="1" applyFill="1" applyBorder="1"/>
    <xf numFmtId="168" fontId="4" fillId="9" borderId="0" xfId="0" applyNumberFormat="1" applyFont="1" applyFill="1"/>
    <xf numFmtId="168" fontId="0" fillId="9" borderId="0" xfId="0" applyNumberFormat="1" applyFill="1"/>
    <xf numFmtId="0" fontId="5" fillId="5" borderId="1" xfId="0" applyFont="1" applyFill="1" applyBorder="1" applyAlignment="1" applyProtection="1">
      <alignment horizontal="center" vertical="center"/>
      <protection locked="0"/>
    </xf>
    <xf numFmtId="0" fontId="5" fillId="5" borderId="6" xfId="0" applyFont="1" applyFill="1" applyBorder="1" applyAlignment="1" applyProtection="1">
      <alignment horizontal="center" vertical="center"/>
      <protection locked="0"/>
    </xf>
    <xf numFmtId="0" fontId="5" fillId="5" borderId="3" xfId="0" applyFont="1" applyFill="1" applyBorder="1" applyAlignment="1" applyProtection="1">
      <alignment horizontal="center" vertical="center"/>
      <protection locked="0"/>
    </xf>
    <xf numFmtId="175" fontId="4" fillId="0" borderId="1" xfId="0" applyNumberFormat="1" applyFont="1" applyBorder="1" applyAlignment="1" applyProtection="1">
      <alignment horizontal="right"/>
      <protection locked="0"/>
    </xf>
    <xf numFmtId="0" fontId="4" fillId="0" borderId="6" xfId="0" applyFont="1" applyBorder="1" applyAlignment="1" applyProtection="1">
      <alignment horizontal="right"/>
      <protection locked="0"/>
    </xf>
    <xf numFmtId="168" fontId="4" fillId="0" borderId="8" xfId="0" applyNumberFormat="1" applyFont="1" applyBorder="1" applyProtection="1">
      <protection locked="0"/>
    </xf>
    <xf numFmtId="168" fontId="4" fillId="0" borderId="7" xfId="0" applyNumberFormat="1" applyFont="1" applyBorder="1" applyProtection="1">
      <protection locked="0"/>
    </xf>
    <xf numFmtId="175" fontId="4" fillId="0" borderId="11" xfId="0" applyNumberFormat="1" applyFont="1" applyBorder="1" applyAlignment="1" applyProtection="1">
      <alignment horizontal="right"/>
      <protection locked="0"/>
    </xf>
    <xf numFmtId="0" fontId="4" fillId="0" borderId="12" xfId="0" applyFont="1" applyBorder="1" applyAlignment="1" applyProtection="1">
      <alignment horizontal="right"/>
      <protection locked="0"/>
    </xf>
    <xf numFmtId="175" fontId="0" fillId="0" borderId="7" xfId="0" applyNumberFormat="1" applyBorder="1" applyProtection="1">
      <protection locked="0"/>
    </xf>
    <xf numFmtId="0" fontId="0" fillId="0" borderId="7" xfId="0" applyBorder="1" applyProtection="1">
      <protection locked="0"/>
    </xf>
    <xf numFmtId="175" fontId="0" fillId="0" borderId="9" xfId="0" applyNumberFormat="1" applyBorder="1" applyProtection="1">
      <protection locked="0"/>
    </xf>
    <xf numFmtId="0" fontId="0" fillId="0" borderId="9" xfId="0" applyBorder="1" applyProtection="1">
      <protection locked="0"/>
    </xf>
    <xf numFmtId="175" fontId="0" fillId="0" borderId="6" xfId="0" applyNumberFormat="1" applyBorder="1" applyProtection="1">
      <protection locked="0"/>
    </xf>
    <xf numFmtId="0" fontId="0" fillId="0" borderId="6" xfId="0" applyBorder="1" applyProtection="1">
      <protection locked="0"/>
    </xf>
    <xf numFmtId="175" fontId="0" fillId="0" borderId="4" xfId="0" applyNumberFormat="1" applyBorder="1" applyProtection="1">
      <protection locked="0"/>
    </xf>
    <xf numFmtId="0" fontId="0" fillId="0" borderId="4" xfId="0" applyBorder="1" applyProtection="1">
      <protection locked="0"/>
    </xf>
    <xf numFmtId="0" fontId="0" fillId="16" borderId="0" xfId="0" applyFill="1" applyAlignment="1">
      <alignment horizontal="center"/>
    </xf>
    <xf numFmtId="0" fontId="27" fillId="0" borderId="0" xfId="0" applyFont="1"/>
    <xf numFmtId="0" fontId="3" fillId="0" borderId="0" xfId="0" applyFont="1"/>
    <xf numFmtId="14" fontId="3" fillId="0" borderId="0" xfId="0" applyNumberFormat="1" applyFont="1"/>
    <xf numFmtId="10" fontId="0" fillId="9" borderId="0" xfId="0" applyNumberFormat="1" applyFill="1"/>
    <xf numFmtId="169" fontId="0" fillId="9" borderId="0" xfId="0" applyNumberFormat="1" applyFill="1"/>
    <xf numFmtId="3" fontId="0" fillId="9" borderId="0" xfId="0" applyNumberFormat="1" applyFill="1"/>
    <xf numFmtId="0" fontId="0" fillId="16" borderId="0" xfId="0" applyFill="1" applyAlignment="1">
      <alignment horizontal="center" vertical="center"/>
    </xf>
    <xf numFmtId="0" fontId="29" fillId="0" borderId="0" xfId="0" applyFont="1"/>
    <xf numFmtId="166" fontId="0" fillId="0" borderId="0" xfId="0" applyNumberFormat="1"/>
    <xf numFmtId="0" fontId="30" fillId="0" borderId="0" xfId="0" applyFont="1"/>
    <xf numFmtId="168" fontId="0" fillId="16" borderId="7" xfId="0" applyNumberFormat="1" applyFill="1" applyBorder="1" applyAlignment="1">
      <alignment horizontal="center"/>
    </xf>
    <xf numFmtId="168" fontId="0" fillId="16" borderId="19" xfId="0" applyNumberFormat="1" applyFill="1" applyBorder="1" applyAlignment="1">
      <alignment horizontal="center"/>
    </xf>
    <xf numFmtId="168" fontId="0" fillId="16" borderId="4" xfId="0" applyNumberFormat="1" applyFill="1" applyBorder="1"/>
    <xf numFmtId="0" fontId="1" fillId="0" borderId="0" xfId="4" applyFill="1" applyBorder="1"/>
    <xf numFmtId="2" fontId="1" fillId="0" borderId="0" xfId="4" applyNumberFormat="1" applyFill="1" applyBorder="1"/>
    <xf numFmtId="0" fontId="1" fillId="0" borderId="0" xfId="4" applyFill="1" applyBorder="1" applyAlignment="1"/>
    <xf numFmtId="0" fontId="1" fillId="0" borderId="0" xfId="6" applyFill="1" applyBorder="1"/>
    <xf numFmtId="0" fontId="31" fillId="10" borderId="4" xfId="8" applyFill="1" applyBorder="1"/>
    <xf numFmtId="0" fontId="26" fillId="0" borderId="0" xfId="0" applyFont="1" applyBorder="1" applyAlignment="1">
      <alignment horizontal="center" vertical="center"/>
    </xf>
    <xf numFmtId="0" fontId="0" fillId="0" borderId="0" xfId="0" applyAlignment="1">
      <alignment horizontal="center" vertical="center"/>
    </xf>
    <xf numFmtId="169" fontId="0" fillId="18" borderId="0" xfId="0" applyNumberFormat="1" applyFill="1" applyAlignment="1">
      <alignment horizontal="center" vertical="center"/>
    </xf>
    <xf numFmtId="0" fontId="0" fillId="18" borderId="0" xfId="0" applyFill="1" applyAlignment="1">
      <alignment horizontal="center" vertical="center"/>
    </xf>
    <xf numFmtId="0" fontId="0" fillId="18" borderId="17" xfId="0" applyFill="1" applyBorder="1" applyAlignment="1">
      <alignment horizontal="center" vertical="center"/>
    </xf>
    <xf numFmtId="0" fontId="0" fillId="18" borderId="18" xfId="0" applyFill="1" applyBorder="1" applyAlignment="1">
      <alignment horizontal="center" vertical="center"/>
    </xf>
    <xf numFmtId="0" fontId="4" fillId="0" borderId="6" xfId="0" applyFont="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4" fillId="9" borderId="0" xfId="0" applyFont="1" applyFill="1" applyAlignment="1">
      <alignment horizontal="left"/>
    </xf>
    <xf numFmtId="0" fontId="0" fillId="9" borderId="0" xfId="0" applyFill="1" applyAlignment="1">
      <alignment horizontal="left"/>
    </xf>
    <xf numFmtId="168" fontId="31" fillId="9" borderId="0" xfId="8" applyNumberFormat="1" applyFill="1" applyAlignment="1">
      <alignment horizontal="left"/>
    </xf>
    <xf numFmtId="0" fontId="0" fillId="0" borderId="0" xfId="0" applyAlignment="1">
      <alignment horizontal="center" wrapText="1"/>
    </xf>
    <xf numFmtId="0" fontId="0" fillId="16" borderId="6" xfId="0" applyFill="1" applyBorder="1" applyAlignment="1">
      <alignment horizontal="center"/>
    </xf>
    <xf numFmtId="10" fontId="0" fillId="16" borderId="6" xfId="0" applyNumberFormat="1" applyFill="1" applyBorder="1" applyAlignment="1">
      <alignment horizontal="center"/>
    </xf>
    <xf numFmtId="0" fontId="0" fillId="16" borderId="12" xfId="0" applyFill="1" applyBorder="1" applyAlignment="1">
      <alignment horizontal="center"/>
    </xf>
    <xf numFmtId="168" fontId="0" fillId="16" borderId="0" xfId="0" applyNumberFormat="1" applyFill="1" applyAlignment="1">
      <alignment horizontal="center"/>
    </xf>
    <xf numFmtId="0" fontId="0" fillId="16" borderId="0" xfId="0" applyFill="1" applyAlignment="1">
      <alignment horizontal="center"/>
    </xf>
    <xf numFmtId="0" fontId="19" fillId="0" borderId="0" xfId="5" applyFont="1" applyFill="1" applyBorder="1" applyAlignment="1">
      <alignment horizontal="right"/>
    </xf>
    <xf numFmtId="0" fontId="19" fillId="0" borderId="0" xfId="4" applyFont="1" applyFill="1" applyBorder="1" applyAlignment="1">
      <alignment horizontal="center" vertical="top"/>
    </xf>
    <xf numFmtId="0" fontId="18" fillId="0" borderId="0" xfId="3" applyFont="1" applyFill="1" applyBorder="1" applyAlignment="1">
      <alignment horizontal="center"/>
    </xf>
    <xf numFmtId="0" fontId="19" fillId="0" borderId="0" xfId="4" applyFont="1" applyFill="1" applyBorder="1" applyAlignment="1">
      <alignment horizontal="left"/>
    </xf>
    <xf numFmtId="0" fontId="6" fillId="0" borderId="0" xfId="3" applyFont="1" applyFill="1" applyBorder="1" applyAlignment="1">
      <alignment horizontal="center"/>
    </xf>
    <xf numFmtId="0" fontId="19" fillId="0" borderId="0" xfId="4" applyFont="1" applyFill="1" applyBorder="1" applyAlignment="1">
      <alignment horizontal="left" wrapText="1"/>
    </xf>
    <xf numFmtId="0" fontId="7" fillId="6" borderId="7" xfId="0" applyFont="1" applyFill="1" applyBorder="1" applyAlignment="1">
      <alignment horizontal="center" vertical="center"/>
    </xf>
    <xf numFmtId="169" fontId="0" fillId="0" borderId="6" xfId="0" applyNumberFormat="1" applyBorder="1" applyAlignment="1">
      <alignment horizontal="center"/>
    </xf>
  </cellXfs>
  <cellStyles count="9">
    <cellStyle name="20% - Accent5" xfId="6" builtinId="46"/>
    <cellStyle name="20% - Accent6" xfId="4" builtinId="50"/>
    <cellStyle name="40% - Accent1" xfId="2" builtinId="31"/>
    <cellStyle name="60% - Accent6" xfId="5" builtinId="52"/>
    <cellStyle name="Accent1" xfId="1" builtinId="29"/>
    <cellStyle name="Accent6" xfId="3" builtinId="49"/>
    <cellStyle name="Hyperlink" xfId="8" builtinId="8"/>
    <cellStyle name="Normal" xfId="0" builtinId="0"/>
    <cellStyle name="Normal 2" xfId="7" xr:uid="{9FFC27C8-197B-42DB-9935-6C5FA73624DC}"/>
  </cellStyles>
  <dxfs count="2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0" formatCode="[$$-409]#,##0.00"/>
    </dxf>
    <dxf>
      <numFmt numFmtId="170" formatCode="[$$-409]#,##0.00"/>
    </dxf>
    <dxf>
      <numFmt numFmtId="30" formatCode="@"/>
    </dxf>
    <dxf>
      <numFmt numFmtId="169" formatCode="&quot;$&quot;#,##0.00"/>
    </dxf>
    <dxf>
      <font>
        <b val="0"/>
        <i val="0"/>
        <strike val="0"/>
        <condense val="0"/>
        <extend val="0"/>
        <outline val="0"/>
        <shadow val="0"/>
        <u val="none"/>
        <vertAlign val="baseline"/>
        <sz val="13"/>
        <color theme="1"/>
        <name val="Arial"/>
        <family val="2"/>
        <scheme val="none"/>
      </font>
      <numFmt numFmtId="0" formatCode="General"/>
    </dxf>
    <dxf>
      <font>
        <b val="0"/>
        <i val="0"/>
        <strike val="0"/>
        <condense val="0"/>
        <extend val="0"/>
        <outline val="0"/>
        <shadow val="0"/>
        <u val="none"/>
        <vertAlign val="baseline"/>
        <sz val="13"/>
        <color theme="1"/>
        <name val="Arial"/>
        <family val="2"/>
        <scheme val="none"/>
      </font>
      <numFmt numFmtId="0" formatCode="General"/>
    </dxf>
    <dxf>
      <font>
        <b val="0"/>
        <i val="0"/>
        <strike val="0"/>
        <condense val="0"/>
        <extend val="0"/>
        <outline val="0"/>
        <shadow val="0"/>
        <u val="none"/>
        <vertAlign val="baseline"/>
        <sz val="13"/>
        <color theme="1"/>
        <name val="Arial"/>
        <family val="2"/>
        <scheme val="none"/>
      </font>
    </dxf>
    <dxf>
      <numFmt numFmtId="176" formatCode="d/m/yyyy"/>
    </dxf>
    <dxf>
      <numFmt numFmtId="169" formatCode="&quot;$&quot;#,##0.00"/>
    </dxf>
    <dxf>
      <numFmt numFmtId="169" formatCode="&quot;$&quot;#,##0.00"/>
    </dxf>
    <dxf>
      <numFmt numFmtId="176" formatCode="d/m/yyyy"/>
    </dxf>
    <dxf>
      <numFmt numFmtId="30" formatCode="@"/>
    </dxf>
    <dxf>
      <numFmt numFmtId="169" formatCode="&quot;$&quot;#,##0.00"/>
    </dxf>
    <dxf>
      <numFmt numFmtId="169" formatCode="&quot;$&quot;#,##0.0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numFmt numFmtId="19" formatCode="dd/mm/yy"/>
      <fill>
        <patternFill patternType="none">
          <fgColor indexed="64"/>
          <bgColor indexed="65"/>
        </patternFill>
      </fill>
    </dxf>
    <dxf>
      <fill>
        <patternFill patternType="solid">
          <fgColor indexed="64"/>
          <bgColor rgb="FFC00000"/>
        </patternFill>
      </fill>
    </dxf>
  </dxfs>
  <tableStyles count="0" defaultTableStyle="TableStyleMedium2" defaultPivotStyle="PivotStyleLight16"/>
  <colors>
    <mruColors>
      <color rgb="FF7EDCBF"/>
      <color rgb="FFA8BCEA"/>
      <color rgb="FFEEEE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26" Type="http://schemas.openxmlformats.org/officeDocument/2006/relationships/customXml" Target="../customXml/item3.xml"/><Relationship Id="rId3" Type="http://schemas.openxmlformats.org/officeDocument/2006/relationships/worksheet" Target="worksheets/sheet3.xml"/><Relationship Id="rId21" Type="http://schemas.microsoft.com/office/2017/06/relationships/rdSupportingPropertyBag" Target="richData/rdsupporting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06/relationships/rdRichValue" Target="richData/rdrichvalue.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sharedStrings" Target="sharedString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17/06/relationships/rdRichValueTypes" Target="richData/rdRichValueTyp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Alowance/Spending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v>Allowance</c:v>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_Database!$E$3:$E$14</c:f>
              <c:numCache>
                <c:formatCode>"$"#,##0.00;\-"$"#,##0.00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C505-47F0-BE8E-2125EA6DDCD5}"/>
            </c:ext>
          </c:extLst>
        </c:ser>
        <c:ser>
          <c:idx val="2"/>
          <c:order val="2"/>
          <c:tx>
            <c:v>Total spent</c:v>
          </c:tx>
          <c:spPr>
            <a:ln w="28575" cap="rnd">
              <a:solidFill>
                <a:schemeClr val="accent6"/>
              </a:solidFill>
              <a:round/>
            </a:ln>
            <a:effectLst/>
          </c:spPr>
          <c:marker>
            <c:symbol val="circle"/>
            <c:size val="5"/>
            <c:spPr>
              <a:solidFill>
                <a:schemeClr val="accent3"/>
              </a:solidFill>
              <a:ln w="9525">
                <a:solidFill>
                  <a:schemeClr val="accent6"/>
                </a:solidFill>
              </a:ln>
              <a:effectLst/>
            </c:spPr>
          </c:marker>
          <c:trendline>
            <c:name>Predicted Spending</c:name>
            <c:spPr>
              <a:ln w="19050" cap="rnd">
                <a:solidFill>
                  <a:srgbClr val="00B050"/>
                </a:solidFill>
                <a:prstDash val="sysDot"/>
              </a:ln>
              <a:effectLst/>
            </c:spPr>
            <c:trendlineType val="linear"/>
            <c:dispRSqr val="0"/>
            <c:dispEq val="0"/>
          </c:trendline>
          <c:val>
            <c:numRef>
              <c:f>_Database!$F$3:$F$14</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C505-47F0-BE8E-2125EA6DDCD5}"/>
            </c:ext>
          </c:extLst>
        </c:ser>
        <c:dLbls>
          <c:showLegendKey val="0"/>
          <c:showVal val="0"/>
          <c:showCatName val="0"/>
          <c:showSerName val="0"/>
          <c:showPercent val="0"/>
          <c:showBubbleSize val="0"/>
        </c:dLbls>
        <c:marker val="1"/>
        <c:smooth val="0"/>
        <c:axId val="820813752"/>
        <c:axId val="820812440"/>
        <c:extLst>
          <c:ext xmlns:c15="http://schemas.microsoft.com/office/drawing/2012/chart" uri="{02D57815-91ED-43cb-92C2-25804820EDAC}">
            <c15:filteredLineSeries>
              <c15:ser>
                <c:idx val="0"/>
                <c:order val="0"/>
                <c:tx>
                  <c:strRef>
                    <c:extLst>
                      <c:ext uri="{02D57815-91ED-43cb-92C2-25804820EDAC}">
                        <c15:formulaRef>
                          <c15:sqref>_Database!$D$1:$D$2</c15:sqref>
                        </c15:formulaRef>
                      </c:ext>
                    </c:extLst>
                    <c:strCache>
                      <c:ptCount val="2"/>
                      <c:pt idx="0">
                        <c:v>Total spent and allowance</c:v>
                      </c:pt>
                      <c:pt idx="1">
                        <c:v>Month</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extLst>
                      <c:ext uri="{02D57815-91ED-43cb-92C2-25804820EDAC}">
                        <c15:formulaRef>
                          <c15:sqref>_Database!$D$3:$D$14</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3-C505-47F0-BE8E-2125EA6DDCD5}"/>
                  </c:ext>
                </c:extLst>
              </c15:ser>
            </c15:filteredLineSeries>
          </c:ext>
        </c:extLst>
      </c:lineChart>
      <c:catAx>
        <c:axId val="8208137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812440"/>
        <c:crosses val="autoZero"/>
        <c:auto val="1"/>
        <c:lblAlgn val="ctr"/>
        <c:lblOffset val="100"/>
        <c:noMultiLvlLbl val="0"/>
      </c:catAx>
      <c:valAx>
        <c:axId val="8208124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0813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spent/Month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_Database!$F$2</c:f>
              <c:strCache>
                <c:ptCount val="1"/>
                <c:pt idx="0">
                  <c:v>Total spent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2D-47DE-B7D7-CABF584B63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72D-47DE-B7D7-CABF584B63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72D-47DE-B7D7-CABF584B63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2D-47DE-B7D7-CABF584B63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72D-47DE-B7D7-CABF584B630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72D-47DE-B7D7-CABF584B630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72D-47DE-B7D7-CABF584B630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72D-47DE-B7D7-CABF584B630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72D-47DE-B7D7-CABF584B630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72D-47DE-B7D7-CABF584B630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72D-47DE-B7D7-CABF584B630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72D-47DE-B7D7-CABF584B63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_Database!$F$3:$F$14</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18-372D-47DE-B7D7-CABF584B6306}"/>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_Database!$D$2</c15:sqref>
                        </c15:formulaRef>
                      </c:ext>
                    </c:extLst>
                    <c:strCache>
                      <c:ptCount val="1"/>
                      <c:pt idx="0">
                        <c:v>Month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A-372D-47DE-B7D7-CABF584B630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C-372D-47DE-B7D7-CABF584B630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E-372D-47DE-B7D7-CABF584B630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0-372D-47DE-B7D7-CABF584B630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2-372D-47DE-B7D7-CABF584B630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4-372D-47DE-B7D7-CABF584B630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6-372D-47DE-B7D7-CABF584B630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8-372D-47DE-B7D7-CABF584B630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A-372D-47DE-B7D7-CABF584B630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C-372D-47DE-B7D7-CABF584B630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E-372D-47DE-B7D7-CABF584B630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0-372D-47DE-B7D7-CABF584B6306}"/>
                    </c:ext>
                  </c:extLst>
                </c:dPt>
                <c:val>
                  <c:numRef>
                    <c:extLst>
                      <c:ext uri="{02D57815-91ED-43cb-92C2-25804820EDAC}">
                        <c15:formulaRef>
                          <c15:sqref>_Database!$D$3:$D$14</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31-372D-47DE-B7D7-CABF584B6306}"/>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Value by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Investment!$C$53</c:f>
              <c:strCache>
                <c:ptCount val="1"/>
                <c:pt idx="0">
                  <c:v>Market 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DA4-4F33-98D5-46A759185D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DA4-4F33-98D5-46A759185D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DA4-4F33-98D5-46A759185D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DA4-4F33-98D5-46A759185D6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DA4-4F33-98D5-46A759185D6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DA4-4F33-98D5-46A759185D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Investment!$B$54:$B$59</c:f>
              <c:strCache>
                <c:ptCount val="2"/>
                <c:pt idx="0">
                  <c:v>Banking Services</c:v>
                </c:pt>
                <c:pt idx="1">
                  <c:v>Automobiles &amp; Auto Parts</c:v>
                </c:pt>
              </c:strCache>
            </c:strRef>
          </c:cat>
          <c:val>
            <c:numRef>
              <c:f>Investment!$C$54:$C$59</c:f>
              <c:numCache>
                <c:formatCode>"$"#,##0.00</c:formatCode>
                <c:ptCount val="6"/>
                <c:pt idx="0">
                  <c:v>14897.999999999998</c:v>
                </c:pt>
                <c:pt idx="1">
                  <c:v>9430</c:v>
                </c:pt>
              </c:numCache>
            </c:numRef>
          </c:val>
          <c:extLst>
            <c:ext xmlns:c16="http://schemas.microsoft.com/office/drawing/2014/chart" uri="{C3380CC4-5D6E-409C-BE32-E72D297353CC}">
              <c16:uniqueId val="{0000000C-2DA4-4F33-98D5-46A759185D6E}"/>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Main!$G$1</c:f>
              <c:strCache>
                <c:ptCount val="1"/>
                <c:pt idx="0">
                  <c:v>Investment Spent</c:v>
                </c:pt>
              </c:strCache>
            </c:strRef>
          </c:tx>
          <c:spPr>
            <a:solidFill>
              <a:schemeClr val="accent1"/>
            </a:solidFill>
            <a:ln>
              <a:noFill/>
            </a:ln>
            <a:effectLst/>
          </c:spPr>
          <c:invertIfNegative val="0"/>
          <c:cat>
            <c:numRef>
              <c:f>Main!$A$2:$A$13</c:f>
              <c:numCache>
                <c:formatCode>mmmm</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Main!$G$2:$G$13</c:f>
              <c:numCache>
                <c:formatCode>"$"#,##0.00</c:formatCode>
                <c:ptCount val="12"/>
                <c:pt idx="0">
                  <c:v>21890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A4F-491D-BD3A-C8A494A456D8}"/>
            </c:ext>
          </c:extLst>
        </c:ser>
        <c:dLbls>
          <c:showLegendKey val="0"/>
          <c:showVal val="0"/>
          <c:showCatName val="0"/>
          <c:showSerName val="0"/>
          <c:showPercent val="0"/>
          <c:showBubbleSize val="0"/>
        </c:dLbls>
        <c:gapWidth val="150"/>
        <c:overlap val="100"/>
        <c:axId val="402660991"/>
        <c:axId val="402671391"/>
      </c:barChart>
      <c:dateAx>
        <c:axId val="402660991"/>
        <c:scaling>
          <c:orientation val="minMax"/>
        </c:scaling>
        <c:delete val="0"/>
        <c:axPos val="b"/>
        <c:numFmt formatCode="m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671391"/>
        <c:crosses val="autoZero"/>
        <c:auto val="1"/>
        <c:lblOffset val="100"/>
        <c:baseTimeUnit val="months"/>
      </c:dateAx>
      <c:valAx>
        <c:axId val="40267139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66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Liability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Investment!$T$4</c:f>
              <c:strCache>
                <c:ptCount val="1"/>
                <c:pt idx="0">
                  <c:v>Amount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D6-4AB1-824E-695CA6B61C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D6-4AB1-824E-695CA6B61C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D6-4AB1-824E-695CA6B61C8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D6-4AB1-824E-695CA6B61C8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D6-4AB1-824E-695CA6B61C8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D6-4AB1-824E-695CA6B61C8F}"/>
              </c:ext>
            </c:extLst>
          </c:dPt>
          <c:cat>
            <c:strRef>
              <c:f>Investment!$S$5:$S$15</c:f>
              <c:strCache>
                <c:ptCount val="2"/>
                <c:pt idx="0">
                  <c:v>Subscription</c:v>
                </c:pt>
                <c:pt idx="1">
                  <c:v>One-Time Payment</c:v>
                </c:pt>
              </c:strCache>
            </c:strRef>
          </c:cat>
          <c:val>
            <c:numRef>
              <c:f>Investment!$T$5:$T$15</c:f>
              <c:numCache>
                <c:formatCode>General</c:formatCode>
                <c:ptCount val="6"/>
                <c:pt idx="0">
                  <c:v>12</c:v>
                </c:pt>
                <c:pt idx="1">
                  <c:v>314</c:v>
                </c:pt>
                <c:pt idx="2">
                  <c:v>0</c:v>
                </c:pt>
                <c:pt idx="3">
                  <c:v>0</c:v>
                </c:pt>
                <c:pt idx="4">
                  <c:v>0</c:v>
                </c:pt>
                <c:pt idx="5">
                  <c:v>0</c:v>
                </c:pt>
              </c:numCache>
            </c:numRef>
          </c:val>
          <c:extLst>
            <c:ext xmlns:c16="http://schemas.microsoft.com/office/drawing/2014/chart" uri="{C3380CC4-5D6E-409C-BE32-E72D297353CC}">
              <c16:uniqueId val="{0000000C-55D6-4AB1-824E-695CA6B61C8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Main!$L$1</c:f>
              <c:strCache>
                <c:ptCount val="1"/>
                <c:pt idx="0">
                  <c:v>Net Profit</c:v>
                </c:pt>
              </c:strCache>
            </c:strRef>
          </c:tx>
          <c:spPr>
            <a:solidFill>
              <a:schemeClr val="accent1"/>
            </a:solidFill>
            <a:ln>
              <a:noFill/>
            </a:ln>
            <a:effectLst/>
          </c:spPr>
          <c:invertIfNegative val="0"/>
          <c:val>
            <c:numRef>
              <c:f>Main!$L$2:$L$13</c:f>
              <c:numCache>
                <c:formatCode>"$"#,##0.00</c:formatCode>
                <c:ptCount val="12"/>
                <c:pt idx="0">
                  <c:v>-21831</c:v>
                </c:pt>
                <c:pt idx="1">
                  <c:v>-1862</c:v>
                </c:pt>
                <c:pt idx="2">
                  <c:v>-3862</c:v>
                </c:pt>
                <c:pt idx="3">
                  <c:v>2138</c:v>
                </c:pt>
                <c:pt idx="4">
                  <c:v>2138</c:v>
                </c:pt>
                <c:pt idx="5">
                  <c:v>2138</c:v>
                </c:pt>
                <c:pt idx="6">
                  <c:v>2138</c:v>
                </c:pt>
                <c:pt idx="7">
                  <c:v>2138</c:v>
                </c:pt>
                <c:pt idx="8">
                  <c:v>2138</c:v>
                </c:pt>
                <c:pt idx="9">
                  <c:v>2138</c:v>
                </c:pt>
                <c:pt idx="10">
                  <c:v>2138</c:v>
                </c:pt>
                <c:pt idx="11">
                  <c:v>2138</c:v>
                </c:pt>
              </c:numCache>
            </c:numRef>
          </c:val>
          <c:extLst>
            <c:ext xmlns:c16="http://schemas.microsoft.com/office/drawing/2014/chart" uri="{C3380CC4-5D6E-409C-BE32-E72D297353CC}">
              <c16:uniqueId val="{00000000-5291-463F-B2EA-F6F80F24D407}"/>
            </c:ext>
          </c:extLst>
        </c:ser>
        <c:dLbls>
          <c:showLegendKey val="0"/>
          <c:showVal val="0"/>
          <c:showCatName val="0"/>
          <c:showSerName val="0"/>
          <c:showPercent val="0"/>
          <c:showBubbleSize val="0"/>
        </c:dLbls>
        <c:gapWidth val="219"/>
        <c:overlap val="-27"/>
        <c:axId val="1430037519"/>
        <c:axId val="1430036687"/>
      </c:barChart>
      <c:catAx>
        <c:axId val="14300375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36687"/>
        <c:crosses val="autoZero"/>
        <c:auto val="1"/>
        <c:lblAlgn val="ctr"/>
        <c:lblOffset val="100"/>
        <c:noMultiLvlLbl val="0"/>
      </c:catAx>
      <c:valAx>
        <c:axId val="1430036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3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Main!$E$1</c:f>
              <c:strCache>
                <c:ptCount val="1"/>
                <c:pt idx="0">
                  <c:v>CPF</c:v>
                </c:pt>
              </c:strCache>
            </c:strRef>
          </c:tx>
          <c:spPr>
            <a:solidFill>
              <a:schemeClr val="accent1"/>
            </a:solidFill>
            <a:ln>
              <a:noFill/>
            </a:ln>
            <a:effectLst/>
          </c:spPr>
          <c:invertIfNegative val="0"/>
          <c:val>
            <c:numRef>
              <c:f>Main!$E$2:$E$13</c:f>
              <c:numCache>
                <c:formatCode>"$"#,##0.00</c:formatCode>
                <c:ptCount val="12"/>
                <c:pt idx="0">
                  <c:v>1295</c:v>
                </c:pt>
                <c:pt idx="1">
                  <c:v>1850</c:v>
                </c:pt>
                <c:pt idx="2">
                  <c:v>1850</c:v>
                </c:pt>
                <c:pt idx="3">
                  <c:v>1850</c:v>
                </c:pt>
                <c:pt idx="4">
                  <c:v>1850</c:v>
                </c:pt>
                <c:pt idx="5">
                  <c:v>1850</c:v>
                </c:pt>
                <c:pt idx="6">
                  <c:v>1850</c:v>
                </c:pt>
                <c:pt idx="7">
                  <c:v>1850</c:v>
                </c:pt>
                <c:pt idx="8">
                  <c:v>1850</c:v>
                </c:pt>
                <c:pt idx="9">
                  <c:v>1850</c:v>
                </c:pt>
                <c:pt idx="10">
                  <c:v>1850</c:v>
                </c:pt>
                <c:pt idx="11">
                  <c:v>1850</c:v>
                </c:pt>
              </c:numCache>
            </c:numRef>
          </c:val>
          <c:extLst>
            <c:ext xmlns:c16="http://schemas.microsoft.com/office/drawing/2014/chart" uri="{C3380CC4-5D6E-409C-BE32-E72D297353CC}">
              <c16:uniqueId val="{00000000-2BA7-406A-8838-D89DF73ABFF6}"/>
            </c:ext>
          </c:extLst>
        </c:ser>
        <c:dLbls>
          <c:showLegendKey val="0"/>
          <c:showVal val="0"/>
          <c:showCatName val="0"/>
          <c:showSerName val="0"/>
          <c:showPercent val="0"/>
          <c:showBubbleSize val="0"/>
        </c:dLbls>
        <c:gapWidth val="219"/>
        <c:overlap val="-27"/>
        <c:axId val="1899122223"/>
        <c:axId val="1899122639"/>
      </c:barChart>
      <c:catAx>
        <c:axId val="18991222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122639"/>
        <c:crosses val="autoZero"/>
        <c:auto val="1"/>
        <c:lblAlgn val="ctr"/>
        <c:lblOffset val="100"/>
        <c:noMultiLvlLbl val="0"/>
      </c:catAx>
      <c:valAx>
        <c:axId val="18991226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12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Main!$G$1</c:f>
              <c:strCache>
                <c:ptCount val="1"/>
                <c:pt idx="0">
                  <c:v>Investment Spent</c:v>
                </c:pt>
              </c:strCache>
            </c:strRef>
          </c:tx>
          <c:spPr>
            <a:solidFill>
              <a:schemeClr val="accent1"/>
            </a:solidFill>
            <a:ln>
              <a:noFill/>
            </a:ln>
            <a:effectLst/>
          </c:spPr>
          <c:invertIfNegative val="0"/>
          <c:cat>
            <c:numRef>
              <c:f>Main!$A$2:$A$13</c:f>
              <c:numCache>
                <c:formatCode>mmmm</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Main!$G$2:$G$13</c:f>
              <c:numCache>
                <c:formatCode>"$"#,##0.00</c:formatCode>
                <c:ptCount val="12"/>
                <c:pt idx="0">
                  <c:v>21890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8EF-4508-B435-9575C753533B}"/>
            </c:ext>
          </c:extLst>
        </c:ser>
        <c:dLbls>
          <c:showLegendKey val="0"/>
          <c:showVal val="0"/>
          <c:showCatName val="0"/>
          <c:showSerName val="0"/>
          <c:showPercent val="0"/>
          <c:showBubbleSize val="0"/>
        </c:dLbls>
        <c:gapWidth val="150"/>
        <c:overlap val="100"/>
        <c:axId val="402660991"/>
        <c:axId val="402671391"/>
      </c:barChart>
      <c:dateAx>
        <c:axId val="402660991"/>
        <c:scaling>
          <c:orientation val="minMax"/>
        </c:scaling>
        <c:delete val="0"/>
        <c:axPos val="b"/>
        <c:numFmt formatCode="m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671391"/>
        <c:crosses val="autoZero"/>
        <c:auto val="1"/>
        <c:lblOffset val="100"/>
        <c:baseTimeUnit val="months"/>
      </c:dateAx>
      <c:valAx>
        <c:axId val="40267139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660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Main!$L$1</c:f>
              <c:strCache>
                <c:ptCount val="1"/>
                <c:pt idx="0">
                  <c:v>Net Profit</c:v>
                </c:pt>
              </c:strCache>
            </c:strRef>
          </c:tx>
          <c:spPr>
            <a:solidFill>
              <a:schemeClr val="accent1"/>
            </a:solidFill>
            <a:ln>
              <a:noFill/>
            </a:ln>
            <a:effectLst/>
          </c:spPr>
          <c:invertIfNegative val="0"/>
          <c:val>
            <c:numRef>
              <c:f>Main!$L$2:$L$13</c:f>
              <c:numCache>
                <c:formatCode>"$"#,##0.00</c:formatCode>
                <c:ptCount val="12"/>
                <c:pt idx="0">
                  <c:v>-21831</c:v>
                </c:pt>
                <c:pt idx="1">
                  <c:v>-1862</c:v>
                </c:pt>
                <c:pt idx="2">
                  <c:v>-3862</c:v>
                </c:pt>
                <c:pt idx="3">
                  <c:v>2138</c:v>
                </c:pt>
                <c:pt idx="4">
                  <c:v>2138</c:v>
                </c:pt>
                <c:pt idx="5">
                  <c:v>2138</c:v>
                </c:pt>
                <c:pt idx="6">
                  <c:v>2138</c:v>
                </c:pt>
                <c:pt idx="7">
                  <c:v>2138</c:v>
                </c:pt>
                <c:pt idx="8">
                  <c:v>2138</c:v>
                </c:pt>
                <c:pt idx="9">
                  <c:v>2138</c:v>
                </c:pt>
                <c:pt idx="10">
                  <c:v>2138</c:v>
                </c:pt>
                <c:pt idx="11">
                  <c:v>2138</c:v>
                </c:pt>
              </c:numCache>
            </c:numRef>
          </c:val>
          <c:extLst>
            <c:ext xmlns:c16="http://schemas.microsoft.com/office/drawing/2014/chart" uri="{C3380CC4-5D6E-409C-BE32-E72D297353CC}">
              <c16:uniqueId val="{00000000-3FDC-4134-9BA7-4EE6EE7685BE}"/>
            </c:ext>
          </c:extLst>
        </c:ser>
        <c:dLbls>
          <c:showLegendKey val="0"/>
          <c:showVal val="0"/>
          <c:showCatName val="0"/>
          <c:showSerName val="0"/>
          <c:showPercent val="0"/>
          <c:showBubbleSize val="0"/>
        </c:dLbls>
        <c:gapWidth val="219"/>
        <c:overlap val="-27"/>
        <c:axId val="1430037519"/>
        <c:axId val="1430036687"/>
      </c:barChart>
      <c:catAx>
        <c:axId val="143003751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36687"/>
        <c:crosses val="autoZero"/>
        <c:auto val="1"/>
        <c:lblAlgn val="ctr"/>
        <c:lblOffset val="100"/>
        <c:noMultiLvlLbl val="0"/>
      </c:catAx>
      <c:valAx>
        <c:axId val="1430036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3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Main!$E$1</c:f>
              <c:strCache>
                <c:ptCount val="1"/>
                <c:pt idx="0">
                  <c:v>CPF</c:v>
                </c:pt>
              </c:strCache>
            </c:strRef>
          </c:tx>
          <c:spPr>
            <a:solidFill>
              <a:schemeClr val="accent1"/>
            </a:solidFill>
            <a:ln>
              <a:noFill/>
            </a:ln>
            <a:effectLst/>
          </c:spPr>
          <c:invertIfNegative val="0"/>
          <c:val>
            <c:numRef>
              <c:f>Main!$E$2:$E$13</c:f>
              <c:numCache>
                <c:formatCode>"$"#,##0.00</c:formatCode>
                <c:ptCount val="12"/>
                <c:pt idx="0">
                  <c:v>1295</c:v>
                </c:pt>
                <c:pt idx="1">
                  <c:v>1850</c:v>
                </c:pt>
                <c:pt idx="2">
                  <c:v>1850</c:v>
                </c:pt>
                <c:pt idx="3">
                  <c:v>1850</c:v>
                </c:pt>
                <c:pt idx="4">
                  <c:v>1850</c:v>
                </c:pt>
                <c:pt idx="5">
                  <c:v>1850</c:v>
                </c:pt>
                <c:pt idx="6">
                  <c:v>1850</c:v>
                </c:pt>
                <c:pt idx="7">
                  <c:v>1850</c:v>
                </c:pt>
                <c:pt idx="8">
                  <c:v>1850</c:v>
                </c:pt>
                <c:pt idx="9">
                  <c:v>1850</c:v>
                </c:pt>
                <c:pt idx="10">
                  <c:v>1850</c:v>
                </c:pt>
                <c:pt idx="11">
                  <c:v>1850</c:v>
                </c:pt>
              </c:numCache>
            </c:numRef>
          </c:val>
          <c:extLst>
            <c:ext xmlns:c16="http://schemas.microsoft.com/office/drawing/2014/chart" uri="{C3380CC4-5D6E-409C-BE32-E72D297353CC}">
              <c16:uniqueId val="{00000000-882A-4D69-AF63-462CC1E69E3D}"/>
            </c:ext>
          </c:extLst>
        </c:ser>
        <c:dLbls>
          <c:showLegendKey val="0"/>
          <c:showVal val="0"/>
          <c:showCatName val="0"/>
          <c:showSerName val="0"/>
          <c:showPercent val="0"/>
          <c:showBubbleSize val="0"/>
        </c:dLbls>
        <c:gapWidth val="219"/>
        <c:overlap val="-27"/>
        <c:axId val="1899122223"/>
        <c:axId val="1899122639"/>
      </c:barChart>
      <c:catAx>
        <c:axId val="189912222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122639"/>
        <c:crosses val="autoZero"/>
        <c:auto val="1"/>
        <c:lblAlgn val="ctr"/>
        <c:lblOffset val="100"/>
        <c:noMultiLvlLbl val="0"/>
      </c:catAx>
      <c:valAx>
        <c:axId val="18991226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91222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spent/Month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1"/>
          <c:tx>
            <c:strRef>
              <c:f>_Database!$F$2</c:f>
              <c:strCache>
                <c:ptCount val="1"/>
                <c:pt idx="0">
                  <c:v>Total spent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D79B-4C97-9A2F-EBDF54CE932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224-4403-9232-43AA0E6444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D79B-4C97-9A2F-EBDF54CE932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224-4403-9232-43AA0E64445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224-4403-9232-43AA0E64445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224-4403-9232-43AA0E64445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224-4403-9232-43AA0E64445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224-4403-9232-43AA0E64445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224-4403-9232-43AA0E64445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224-4403-9232-43AA0E64445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224-4403-9232-43AA0E64445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224-4403-9232-43AA0E6444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_Database!$F$3:$F$14</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79B-4C97-9A2F-EBDF54CE932A}"/>
            </c:ext>
          </c:extLst>
        </c:ser>
        <c:dLbls>
          <c:showLegendKey val="0"/>
          <c:showVal val="0"/>
          <c:showCatName val="0"/>
          <c:showSerName val="0"/>
          <c:showPercent val="0"/>
          <c:showBubbleSize val="0"/>
          <c:showLeaderLines val="1"/>
        </c:dLbls>
        <c:firstSliceAng val="0"/>
        <c:extLst>
          <c:ext xmlns:c15="http://schemas.microsoft.com/office/drawing/2012/chart" uri="{02D57815-91ED-43cb-92C2-25804820EDAC}">
            <c15:filteredPieSeries>
              <c15:ser>
                <c:idx val="0"/>
                <c:order val="0"/>
                <c:tx>
                  <c:strRef>
                    <c:extLst>
                      <c:ext uri="{02D57815-91ED-43cb-92C2-25804820EDAC}">
                        <c15:formulaRef>
                          <c15:sqref>_Database!$D$2</c15:sqref>
                        </c15:formulaRef>
                      </c:ext>
                    </c:extLst>
                    <c:strCache>
                      <c:ptCount val="1"/>
                      <c:pt idx="0">
                        <c:v>Month</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9-D224-4403-9232-43AA0E64445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D224-4403-9232-43AA0E64445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D-D224-4403-9232-43AA0E64445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F-D224-4403-9232-43AA0E64445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1-D224-4403-9232-43AA0E64445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3-D224-4403-9232-43AA0E64445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5-D224-4403-9232-43AA0E64445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7-D224-4403-9232-43AA0E64445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9-D224-4403-9232-43AA0E64445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B-D224-4403-9232-43AA0E64445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D-D224-4403-9232-43AA0E64445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2F-D224-4403-9232-43AA0E64445B}"/>
                    </c:ext>
                  </c:extLst>
                </c:dPt>
                <c:val>
                  <c:numRef>
                    <c:extLst>
                      <c:ext uri="{02D57815-91ED-43cb-92C2-25804820EDAC}">
                        <c15:formulaRef>
                          <c15:sqref>_Database!$D$3:$D$14</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00-D79B-4C97-9A2F-EBDF54CE932A}"/>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Value by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Investment!$C$53</c:f>
              <c:strCache>
                <c:ptCount val="1"/>
                <c:pt idx="0">
                  <c:v>Market Value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Investment!$B$54:$B$58</c:f>
              <c:strCache>
                <c:ptCount val="2"/>
                <c:pt idx="0">
                  <c:v>Banking Services</c:v>
                </c:pt>
                <c:pt idx="1">
                  <c:v>Automobiles &amp; Auto Parts</c:v>
                </c:pt>
              </c:strCache>
            </c:strRef>
          </c:cat>
          <c:val>
            <c:numRef>
              <c:f>Investment!$C$54:$C$58</c:f>
              <c:numCache>
                <c:formatCode>"$"#,##0.00</c:formatCode>
                <c:ptCount val="5"/>
                <c:pt idx="0">
                  <c:v>14897.999999999998</c:v>
                </c:pt>
                <c:pt idx="1">
                  <c:v>9430</c:v>
                </c:pt>
              </c:numCache>
            </c:numRef>
          </c:val>
          <c:extLst>
            <c:ext xmlns:c16="http://schemas.microsoft.com/office/drawing/2014/chart" uri="{C3380CC4-5D6E-409C-BE32-E72D297353CC}">
              <c16:uniqueId val="{00000001-6B5C-4CFA-8F04-AE0658D019FA}"/>
            </c:ext>
          </c:extLst>
        </c:ser>
        <c:dLbls>
          <c:showLegendKey val="0"/>
          <c:showVal val="0"/>
          <c:showCatName val="0"/>
          <c:showSerName val="0"/>
          <c:showPercent val="0"/>
          <c:showBubbleSize val="0"/>
        </c:dLbls>
        <c:gapWidth val="219"/>
        <c:overlap val="-27"/>
        <c:axId val="1079253704"/>
        <c:axId val="1576576439"/>
      </c:barChart>
      <c:catAx>
        <c:axId val="1079253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6576439"/>
        <c:crosses val="autoZero"/>
        <c:auto val="1"/>
        <c:lblAlgn val="ctr"/>
        <c:lblOffset val="100"/>
        <c:noMultiLvlLbl val="0"/>
      </c:catAx>
      <c:valAx>
        <c:axId val="1576576439"/>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925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Value by Industry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Investment!$C$53</c:f>
              <c:strCache>
                <c:ptCount val="1"/>
                <c:pt idx="0">
                  <c:v>Market 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2A4-40DD-813C-D58BC937993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2A4-40DD-813C-D58BC937993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2A4-40DD-813C-D58BC937993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2A4-40DD-813C-D58BC937993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2A4-40DD-813C-D58BC937993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2A4-40DD-813C-D58BC937993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Investment!$B$54:$B$59</c:f>
              <c:strCache>
                <c:ptCount val="2"/>
                <c:pt idx="0">
                  <c:v>Banking Services</c:v>
                </c:pt>
                <c:pt idx="1">
                  <c:v>Automobiles &amp; Auto Parts</c:v>
                </c:pt>
              </c:strCache>
            </c:strRef>
          </c:cat>
          <c:val>
            <c:numRef>
              <c:f>Investment!$C$54:$C$59</c:f>
              <c:numCache>
                <c:formatCode>"$"#,##0.00</c:formatCode>
                <c:ptCount val="6"/>
                <c:pt idx="0">
                  <c:v>14897.999999999998</c:v>
                </c:pt>
                <c:pt idx="1">
                  <c:v>9430</c:v>
                </c:pt>
              </c:numCache>
            </c:numRef>
          </c:val>
          <c:extLst>
            <c:ext xmlns:c16="http://schemas.microsoft.com/office/drawing/2014/chart" uri="{C3380CC4-5D6E-409C-BE32-E72D297353CC}">
              <c16:uniqueId val="{00000000-42BF-4CE7-A79A-6E9A2236D00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Gain/(Loss) Bar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cat>
            <c:strRef>
              <c:f>Investment!$B$5:$B$10</c:f>
              <c:strCache>
                <c:ptCount val="2"/>
                <c:pt idx="0">
                  <c:v>JPMORGAN CHASE &amp; CO. (XNYS:JPM)</c:v>
                </c:pt>
                <c:pt idx="1">
                  <c:v>TESLA, INC. (XNAS:TSLA)</c:v>
                </c:pt>
              </c:strCache>
            </c:strRef>
          </c:cat>
          <c:val>
            <c:numRef>
              <c:f>Investment!$I$5:$I$10</c:f>
              <c:numCache>
                <c:formatCode>"$"#,##0.00</c:formatCode>
                <c:ptCount val="6"/>
                <c:pt idx="0">
                  <c:v>2197.9999999999982</c:v>
                </c:pt>
                <c:pt idx="1">
                  <c:v>-1260</c:v>
                </c:pt>
              </c:numCache>
            </c:numRef>
          </c:val>
          <c:extLst>
            <c:ext xmlns:c16="http://schemas.microsoft.com/office/drawing/2014/chart" uri="{C3380CC4-5D6E-409C-BE32-E72D297353CC}">
              <c16:uniqueId val="{00000000-1CE8-4A82-B1F2-BD2CA8CB5D38}"/>
            </c:ext>
          </c:extLst>
        </c:ser>
        <c:dLbls>
          <c:showLegendKey val="0"/>
          <c:showVal val="0"/>
          <c:showCatName val="0"/>
          <c:showSerName val="0"/>
          <c:showPercent val="0"/>
          <c:showBubbleSize val="0"/>
        </c:dLbls>
        <c:gapWidth val="182"/>
        <c:axId val="540619999"/>
        <c:axId val="540616671"/>
      </c:barChart>
      <c:catAx>
        <c:axId val="5406199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16671"/>
        <c:crosses val="autoZero"/>
        <c:auto val="1"/>
        <c:lblAlgn val="ctr"/>
        <c:lblOffset val="100"/>
        <c:noMultiLvlLbl val="0"/>
      </c:catAx>
      <c:valAx>
        <c:axId val="540616671"/>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619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Investment!$T$4</c:f>
              <c:strCache>
                <c:ptCount val="1"/>
                <c:pt idx="0">
                  <c:v>Amount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51-4036-9E3D-08B2C6597F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51-4036-9E3D-08B2C6597F5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51-4036-9E3D-08B2C6597F5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51-4036-9E3D-08B2C6597F5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551-4036-9E3D-08B2C6597F5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551-4036-9E3D-08B2C6597F52}"/>
              </c:ext>
            </c:extLst>
          </c:dPt>
          <c:cat>
            <c:strRef>
              <c:f>Investment!$S$5:$S$15</c:f>
              <c:strCache>
                <c:ptCount val="2"/>
                <c:pt idx="0">
                  <c:v>Subscription</c:v>
                </c:pt>
                <c:pt idx="1">
                  <c:v>One-Time Payment</c:v>
                </c:pt>
              </c:strCache>
            </c:strRef>
          </c:cat>
          <c:val>
            <c:numRef>
              <c:f>Investment!$T$5:$T$15</c:f>
              <c:numCache>
                <c:formatCode>General</c:formatCode>
                <c:ptCount val="6"/>
                <c:pt idx="0">
                  <c:v>12</c:v>
                </c:pt>
                <c:pt idx="1">
                  <c:v>314</c:v>
                </c:pt>
                <c:pt idx="2">
                  <c:v>0</c:v>
                </c:pt>
                <c:pt idx="3">
                  <c:v>0</c:v>
                </c:pt>
                <c:pt idx="4">
                  <c:v>0</c:v>
                </c:pt>
                <c:pt idx="5">
                  <c:v>0</c:v>
                </c:pt>
              </c:numCache>
            </c:numRef>
          </c:val>
          <c:extLst>
            <c:ext xmlns:c16="http://schemas.microsoft.com/office/drawing/2014/chart" uri="{C3380CC4-5D6E-409C-BE32-E72D297353CC}">
              <c16:uniqueId val="{00000000-FBD7-4D62-8EFB-412BD04A2FE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chart" Target="../charts/chart1.xml"/><Relationship Id="rId7" Type="http://schemas.openxmlformats.org/officeDocument/2006/relationships/image" Target="../media/image4.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png"/><Relationship Id="rId11" Type="http://schemas.openxmlformats.org/officeDocument/2006/relationships/chart" Target="../charts/chart7.xml"/><Relationship Id="rId5" Type="http://schemas.openxmlformats.org/officeDocument/2006/relationships/chart" Target="../charts/chart3.xml"/><Relationship Id="rId10" Type="http://schemas.openxmlformats.org/officeDocument/2006/relationships/chart" Target="../charts/chart6.xml"/><Relationship Id="rId4" Type="http://schemas.openxmlformats.org/officeDocument/2006/relationships/chart" Target="../charts/chart2.xml"/><Relationship Id="rId9" Type="http://schemas.openxmlformats.org/officeDocument/2006/relationships/chart" Target="../charts/chart5.xml"/></Relationships>
</file>

<file path=xl/drawings/_rels/drawing2.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3" Type="http://schemas.openxmlformats.org/officeDocument/2006/relationships/image" Target="../media/image8.svg"/><Relationship Id="rId2" Type="http://schemas.openxmlformats.org/officeDocument/2006/relationships/image" Target="../media/image7.png"/><Relationship Id="rId1" Type="http://schemas.openxmlformats.org/officeDocument/2006/relationships/chart" Target="../charts/chart12.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304800</xdr:colOff>
      <xdr:row>1</xdr:row>
      <xdr:rowOff>49911</xdr:rowOff>
    </xdr:from>
    <xdr:to>
      <xdr:col>11</xdr:col>
      <xdr:colOff>0</xdr:colOff>
      <xdr:row>3</xdr:row>
      <xdr:rowOff>180975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304800" y="233842"/>
          <a:ext cx="11444890" cy="498926"/>
        </a:xfrm>
        <a:prstGeom prst="roundRect">
          <a:avLst>
            <a:gd name="adj" fmla="val 50000"/>
          </a:avLst>
        </a:prstGeom>
        <a:gradFill flip="none" rotWithShape="1">
          <a:gsLst>
            <a:gs pos="0">
              <a:srgbClr val="7EDCBF"/>
            </a:gs>
            <a:gs pos="100000">
              <a:srgbClr val="A8BCEA"/>
            </a:gs>
          </a:gsLst>
          <a:lin ang="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6</xdr:col>
      <xdr:colOff>511969</xdr:colOff>
      <xdr:row>1</xdr:row>
      <xdr:rowOff>116586</xdr:rowOff>
    </xdr:from>
    <xdr:to>
      <xdr:col>11</xdr:col>
      <xdr:colOff>76201</xdr:colOff>
      <xdr:row>3</xdr:row>
      <xdr:rowOff>21336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858125" y="307086"/>
          <a:ext cx="3267076"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latin typeface="Arial" panose="020B0604020202020204" pitchFamily="34" charset="0"/>
              <a:cs typeface="Arial" panose="020B0604020202020204" pitchFamily="34" charset="0"/>
            </a:rPr>
            <a:t>Statch </a:t>
          </a:r>
          <a:r>
            <a:rPr lang="en-US" sz="1800" b="0">
              <a:latin typeface="Arial" panose="020B0604020202020204" pitchFamily="34" charset="0"/>
              <a:cs typeface="Arial" panose="020B0604020202020204" pitchFamily="34" charset="0"/>
            </a:rPr>
            <a:t>Finanical Dashboard</a:t>
          </a:r>
        </a:p>
      </xdr:txBody>
    </xdr:sp>
    <xdr:clientData/>
  </xdr:twoCellAnchor>
  <xdr:twoCellAnchor editAs="oneCell">
    <xdr:from>
      <xdr:col>1</xdr:col>
      <xdr:colOff>95252</xdr:colOff>
      <xdr:row>1</xdr:row>
      <xdr:rowOff>107061</xdr:rowOff>
    </xdr:from>
    <xdr:to>
      <xdr:col>1</xdr:col>
      <xdr:colOff>485776</xdr:colOff>
      <xdr:row>3</xdr:row>
      <xdr:rowOff>116585</xdr:rowOff>
    </xdr:to>
    <xdr:pic macro="[0]!Macro1">
      <xdr:nvPicPr>
        <xdr:cNvPr id="6" name="Graphic 5" descr="History with solid fill">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00052" y="297561"/>
          <a:ext cx="390524" cy="390524"/>
        </a:xfrm>
        <a:prstGeom prst="rect">
          <a:avLst/>
        </a:prstGeom>
      </xdr:spPr>
    </xdr:pic>
    <xdr:clientData/>
  </xdr:twoCellAnchor>
  <xdr:twoCellAnchor>
    <xdr:from>
      <xdr:col>1</xdr:col>
      <xdr:colOff>457199</xdr:colOff>
      <xdr:row>1</xdr:row>
      <xdr:rowOff>78485</xdr:rowOff>
    </xdr:from>
    <xdr:to>
      <xdr:col>3</xdr:col>
      <xdr:colOff>466724</xdr:colOff>
      <xdr:row>3</xdr:row>
      <xdr:rowOff>154686</xdr:rowOff>
    </xdr:to>
    <xdr:sp macro="" textlink="">
      <xdr:nvSpPr>
        <xdr:cNvPr id="9233" name="TextBox 6">
          <a:extLst>
            <a:ext uri="{FF2B5EF4-FFF2-40B4-BE49-F238E27FC236}">
              <a16:creationId xmlns:a16="http://schemas.microsoft.com/office/drawing/2014/main" id="{00000000-0008-0000-0000-000011240000}"/>
            </a:ext>
          </a:extLst>
        </xdr:cNvPr>
        <xdr:cNvSpPr txBox="1"/>
      </xdr:nvSpPr>
      <xdr:spPr>
        <a:xfrm>
          <a:off x="761999" y="268985"/>
          <a:ext cx="2257425" cy="457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indent="0"/>
          <a:r>
            <a:rPr lang="en-US" sz="1200">
              <a:solidFill>
                <a:schemeClr val="dk1">
                  <a:lumMod val="100000"/>
                </a:schemeClr>
              </a:solidFill>
              <a:latin typeface="Arial" panose="020B0604020202020204" pitchFamily="34" charset="0"/>
              <a:ea typeface="+mn-ea"/>
              <a:cs typeface="Arial" panose="020B0604020202020204" pitchFamily="34" charset="0"/>
            </a:rPr>
            <a:t>Last Updated:</a:t>
          </a:r>
        </a:p>
        <a:p>
          <a:pPr indent="0"/>
          <a:r>
            <a:rPr lang="en-US" sz="1200">
              <a:solidFill>
                <a:schemeClr val="dk1">
                  <a:lumMod val="100000"/>
                </a:schemeClr>
              </a:solidFill>
              <a:latin typeface="Arial" panose="020B0604020202020204" pitchFamily="34" charset="0"/>
              <a:ea typeface="+mn-ea"/>
              <a:cs typeface="Arial" panose="020B0604020202020204" pitchFamily="34" charset="0"/>
            </a:rPr>
            <a:t>26-Jan-22</a:t>
          </a:r>
        </a:p>
        <a:p>
          <a:endParaRPr lang="en-US" sz="1200">
            <a:latin typeface="Arial" panose="020B0604020202020204" pitchFamily="34" charset="0"/>
            <a:cs typeface="Arial" panose="020B0604020202020204" pitchFamily="34" charset="0"/>
          </a:endParaRPr>
        </a:p>
        <a:p>
          <a:endParaRPr lang="en-US" sz="1100"/>
        </a:p>
      </xdr:txBody>
    </xdr:sp>
    <xdr:clientData/>
  </xdr:twoCellAnchor>
  <xdr:twoCellAnchor>
    <xdr:from>
      <xdr:col>0</xdr:col>
      <xdr:colOff>333375</xdr:colOff>
      <xdr:row>5</xdr:row>
      <xdr:rowOff>0</xdr:rowOff>
    </xdr:from>
    <xdr:to>
      <xdr:col>2</xdr:col>
      <xdr:colOff>1</xdr:colOff>
      <xdr:row>6</xdr:row>
      <xdr:rowOff>0</xdr:rowOff>
    </xdr:to>
    <xdr:sp macro=""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333375" y="952500"/>
          <a:ext cx="1304926" cy="390525"/>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Name:</a:t>
          </a:r>
        </a:p>
      </xdr:txBody>
    </xdr:sp>
    <xdr:clientData/>
  </xdr:twoCellAnchor>
  <xdr:twoCellAnchor>
    <xdr:from>
      <xdr:col>3</xdr:col>
      <xdr:colOff>371474</xdr:colOff>
      <xdr:row>5</xdr:row>
      <xdr:rowOff>0</xdr:rowOff>
    </xdr:from>
    <xdr:to>
      <xdr:col>5</xdr:col>
      <xdr:colOff>0</xdr:colOff>
      <xdr:row>6</xdr:row>
      <xdr:rowOff>0</xdr:rowOff>
    </xdr:to>
    <xdr:sp macr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3228974" y="952500"/>
          <a:ext cx="847726" cy="390525"/>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Age:</a:t>
          </a:r>
        </a:p>
      </xdr:txBody>
    </xdr:sp>
    <xdr:clientData/>
  </xdr:twoCellAnchor>
  <xdr:twoCellAnchor>
    <xdr:from>
      <xdr:col>0</xdr:col>
      <xdr:colOff>323850</xdr:colOff>
      <xdr:row>6</xdr:row>
      <xdr:rowOff>190499</xdr:rowOff>
    </xdr:from>
    <xdr:to>
      <xdr:col>11</xdr:col>
      <xdr:colOff>19050</xdr:colOff>
      <xdr:row>7</xdr:row>
      <xdr:rowOff>66674</xdr:rowOff>
    </xdr:to>
    <xdr:sp macro="" textlink="">
      <xdr:nvSpPr>
        <xdr:cNvPr id="4" name="Rectangle: Rounded Corners 11">
          <a:extLst>
            <a:ext uri="{FF2B5EF4-FFF2-40B4-BE49-F238E27FC236}">
              <a16:creationId xmlns:a16="http://schemas.microsoft.com/office/drawing/2014/main" id="{00000000-0008-0000-0000-000004000000}"/>
            </a:ext>
          </a:extLst>
        </xdr:cNvPr>
        <xdr:cNvSpPr/>
      </xdr:nvSpPr>
      <xdr:spPr>
        <a:xfrm>
          <a:off x="323850" y="1533524"/>
          <a:ext cx="7429500" cy="66675"/>
        </a:xfrm>
        <a:prstGeom prst="roundRect">
          <a:avLst>
            <a:gd name="adj" fmla="val 5000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0</xdr:col>
      <xdr:colOff>304799</xdr:colOff>
      <xdr:row>8</xdr:row>
      <xdr:rowOff>76202</xdr:rowOff>
    </xdr:from>
    <xdr:to>
      <xdr:col>4</xdr:col>
      <xdr:colOff>981074</xdr:colOff>
      <xdr:row>10</xdr:row>
      <xdr:rowOff>19050</xdr:rowOff>
    </xdr:to>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304799" y="1800227"/>
          <a:ext cx="3838575" cy="323848"/>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Alowance/Spending</a:t>
          </a:r>
        </a:p>
      </xdr:txBody>
    </xdr:sp>
    <xdr:clientData/>
  </xdr:twoCellAnchor>
  <xdr:twoCellAnchor>
    <xdr:from>
      <xdr:col>5</xdr:col>
      <xdr:colOff>332872</xdr:colOff>
      <xdr:row>8</xdr:row>
      <xdr:rowOff>104775</xdr:rowOff>
    </xdr:from>
    <xdr:to>
      <xdr:col>17</xdr:col>
      <xdr:colOff>481601</xdr:colOff>
      <xdr:row>26</xdr:row>
      <xdr:rowOff>0</xdr:rowOff>
    </xdr:to>
    <xdr:graphicFrame macro="">
      <xdr:nvGraphicFramePr>
        <xdr:cNvPr id="26" name="Chart 12">
          <a:extLst>
            <a:ext uri="{FF2B5EF4-FFF2-40B4-BE49-F238E27FC236}">
              <a16:creationId xmlns:a16="http://schemas.microsoft.com/office/drawing/2014/main" id="{00000000-0008-0000-0000-00001A000000}"/>
            </a:ext>
            <a:ext uri="{147F2762-F138-4A5C-976F-8EAC2B608ADB}">
              <a16:predDERef xmlns:a16="http://schemas.microsoft.com/office/drawing/2014/main" pred="{00000000-0008-0000-0900-00001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85618</xdr:colOff>
      <xdr:row>8</xdr:row>
      <xdr:rowOff>100262</xdr:rowOff>
    </xdr:from>
    <xdr:to>
      <xdr:col>31</xdr:col>
      <xdr:colOff>217714</xdr:colOff>
      <xdr:row>25</xdr:row>
      <xdr:rowOff>190499</xdr:rowOff>
    </xdr:to>
    <xdr:graphicFrame macro="">
      <xdr:nvGraphicFramePr>
        <xdr:cNvPr id="17" name="Chart 16">
          <a:extLst>
            <a:ext uri="{FF2B5EF4-FFF2-40B4-BE49-F238E27FC236}">
              <a16:creationId xmlns:a16="http://schemas.microsoft.com/office/drawing/2014/main" id="{00000000-0008-0000-00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41</xdr:row>
      <xdr:rowOff>0</xdr:rowOff>
    </xdr:from>
    <xdr:to>
      <xdr:col>5</xdr:col>
      <xdr:colOff>0</xdr:colOff>
      <xdr:row>42</xdr:row>
      <xdr:rowOff>133348</xdr:rowOff>
    </xdr:to>
    <xdr:sp macro=""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299357" y="8205107"/>
          <a:ext cx="6218464" cy="323848"/>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Investments</a:t>
          </a:r>
        </a:p>
      </xdr:txBody>
    </xdr:sp>
    <xdr:clientData/>
  </xdr:twoCellAnchor>
  <xdr:twoCellAnchor>
    <xdr:from>
      <xdr:col>6</xdr:col>
      <xdr:colOff>588622</xdr:colOff>
      <xdr:row>40</xdr:row>
      <xdr:rowOff>181938</xdr:rowOff>
    </xdr:from>
    <xdr:to>
      <xdr:col>8</xdr:col>
      <xdr:colOff>438791</xdr:colOff>
      <xdr:row>42</xdr:row>
      <xdr:rowOff>122648</xdr:rowOff>
    </xdr:to>
    <xdr:sp macro="[0]!toLedger"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8208622" y="8196545"/>
          <a:ext cx="1401383" cy="321710"/>
        </a:xfrm>
        <a:prstGeom prst="roundRect">
          <a:avLst>
            <a:gd name="adj" fmla="val 50000"/>
          </a:avLst>
        </a:prstGeom>
        <a:gradFill>
          <a:gsLst>
            <a:gs pos="0">
              <a:srgbClr val="7EDCBF"/>
            </a:gs>
            <a:gs pos="7200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ysClr val="windowText" lastClr="000000"/>
              </a:solidFill>
              <a:latin typeface="Arial" panose="020B0604020202020204" pitchFamily="34" charset="0"/>
              <a:cs typeface="Arial" panose="020B0604020202020204" pitchFamily="34" charset="0"/>
            </a:rPr>
            <a:t>Ledger ➔</a:t>
          </a:r>
          <a:endParaRPr lang="en-US" sz="1100" b="1" i="0">
            <a:solidFill>
              <a:schemeClr val="lt1"/>
            </a:solidFill>
            <a:effectLst/>
            <a:latin typeface="+mn-lt"/>
            <a:ea typeface="+mn-ea"/>
            <a:cs typeface="+mn-cs"/>
          </a:endParaRPr>
        </a:p>
      </xdr:txBody>
    </xdr:sp>
    <xdr:clientData/>
  </xdr:twoCellAnchor>
  <xdr:twoCellAnchor>
    <xdr:from>
      <xdr:col>9</xdr:col>
      <xdr:colOff>449495</xdr:colOff>
      <xdr:row>41</xdr:row>
      <xdr:rowOff>53007</xdr:rowOff>
    </xdr:from>
    <xdr:to>
      <xdr:col>18</xdr:col>
      <xdr:colOff>326572</xdr:colOff>
      <xdr:row>58</xdr:row>
      <xdr:rowOff>152853</xdr:rowOff>
    </xdr:to>
    <xdr:graphicFrame macro="">
      <xdr:nvGraphicFramePr>
        <xdr:cNvPr id="18" name="industry_pie">
          <a:extLst>
            <a:ext uri="{FF2B5EF4-FFF2-40B4-BE49-F238E27FC236}">
              <a16:creationId xmlns:a16="http://schemas.microsoft.com/office/drawing/2014/main" id="{00000000-0008-0000-00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505775</xdr:colOff>
      <xdr:row>40</xdr:row>
      <xdr:rowOff>141898</xdr:rowOff>
    </xdr:from>
    <xdr:to>
      <xdr:col>9</xdr:col>
      <xdr:colOff>716</xdr:colOff>
      <xdr:row>42</xdr:row>
      <xdr:rowOff>171235</xdr:rowOff>
    </xdr:to>
    <xdr:pic macro="[0]!addRow">
      <xdr:nvPicPr>
        <xdr:cNvPr id="19" name="Graphic 18" descr="Badge Follow with solid fill">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676989" y="8156505"/>
          <a:ext cx="406620" cy="410337"/>
        </a:xfrm>
        <a:prstGeom prst="rect">
          <a:avLst/>
        </a:prstGeom>
      </xdr:spPr>
    </xdr:pic>
    <xdr:clientData/>
  </xdr:twoCellAnchor>
  <xdr:twoCellAnchor>
    <xdr:from>
      <xdr:col>18</xdr:col>
      <xdr:colOff>565692</xdr:colOff>
      <xdr:row>41</xdr:row>
      <xdr:rowOff>59178</xdr:rowOff>
    </xdr:from>
    <xdr:to>
      <xdr:col>31</xdr:col>
      <xdr:colOff>158183</xdr:colOff>
      <xdr:row>78</xdr:row>
      <xdr:rowOff>23813</xdr:rowOff>
    </xdr:to>
    <xdr:graphicFrame macro="">
      <xdr:nvGraphicFramePr>
        <xdr:cNvPr id="20" name="Chart 19">
          <a:extLst>
            <a:ext uri="{FF2B5EF4-FFF2-40B4-BE49-F238E27FC236}">
              <a16:creationId xmlns:a16="http://schemas.microsoft.com/office/drawing/2014/main" id="{00000000-0008-0000-00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268942</xdr:colOff>
      <xdr:row>66</xdr:row>
      <xdr:rowOff>179294</xdr:rowOff>
    </xdr:from>
    <xdr:to>
      <xdr:col>4</xdr:col>
      <xdr:colOff>1098177</xdr:colOff>
      <xdr:row>68</xdr:row>
      <xdr:rowOff>122142</xdr:rowOff>
    </xdr:to>
    <xdr:sp macro="" textlink="">
      <xdr:nvSpPr>
        <xdr:cNvPr id="22" name="Rectangle: Rounded Corners 21">
          <a:extLst>
            <a:ext uri="{FF2B5EF4-FFF2-40B4-BE49-F238E27FC236}">
              <a16:creationId xmlns:a16="http://schemas.microsoft.com/office/drawing/2014/main" id="{00000000-0008-0000-0000-000016000000}"/>
            </a:ext>
          </a:extLst>
        </xdr:cNvPr>
        <xdr:cNvSpPr/>
      </xdr:nvSpPr>
      <xdr:spPr>
        <a:xfrm>
          <a:off x="268942" y="13255758"/>
          <a:ext cx="6176842" cy="323848"/>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Liabilities</a:t>
          </a:r>
        </a:p>
      </xdr:txBody>
    </xdr:sp>
    <xdr:clientData/>
  </xdr:twoCellAnchor>
  <xdr:twoCellAnchor>
    <xdr:from>
      <xdr:col>6</xdr:col>
      <xdr:colOff>542925</xdr:colOff>
      <xdr:row>66</xdr:row>
      <xdr:rowOff>166513</xdr:rowOff>
    </xdr:from>
    <xdr:to>
      <xdr:col>8</xdr:col>
      <xdr:colOff>393094</xdr:colOff>
      <xdr:row>68</xdr:row>
      <xdr:rowOff>107223</xdr:rowOff>
    </xdr:to>
    <xdr:sp macro="[0]!toLiabilities" textlink="">
      <xdr:nvSpPr>
        <xdr:cNvPr id="24" name="Rectangle: Rounded Corners 23">
          <a:extLst>
            <a:ext uri="{FF2B5EF4-FFF2-40B4-BE49-F238E27FC236}">
              <a16:creationId xmlns:a16="http://schemas.microsoft.com/office/drawing/2014/main" id="{00000000-0008-0000-0000-000018000000}"/>
            </a:ext>
          </a:extLst>
        </xdr:cNvPr>
        <xdr:cNvSpPr/>
      </xdr:nvSpPr>
      <xdr:spPr>
        <a:xfrm>
          <a:off x="8162925" y="13242977"/>
          <a:ext cx="1401383" cy="321710"/>
        </a:xfrm>
        <a:prstGeom prst="roundRect">
          <a:avLst>
            <a:gd name="adj" fmla="val 50000"/>
          </a:avLst>
        </a:prstGeom>
        <a:gradFill>
          <a:gsLst>
            <a:gs pos="0">
              <a:srgbClr val="7EDCBF"/>
            </a:gs>
            <a:gs pos="7200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ysClr val="windowText" lastClr="000000"/>
              </a:solidFill>
              <a:latin typeface="Arial" panose="020B0604020202020204" pitchFamily="34" charset="0"/>
              <a:cs typeface="Arial" panose="020B0604020202020204" pitchFamily="34" charset="0"/>
            </a:rPr>
            <a:t>Table ➔</a:t>
          </a:r>
          <a:endParaRPr lang="en-US" sz="1100" b="1" i="0">
            <a:solidFill>
              <a:schemeClr val="lt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xdr:col>
          <xdr:colOff>704850</xdr:colOff>
          <xdr:row>12</xdr:row>
          <xdr:rowOff>19050</xdr:rowOff>
        </xdr:from>
        <xdr:to>
          <xdr:col>3</xdr:col>
          <xdr:colOff>0</xdr:colOff>
          <xdr:row>14</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704850</xdr:colOff>
          <xdr:row>14</xdr:row>
          <xdr:rowOff>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628650</xdr:colOff>
          <xdr:row>12</xdr:row>
          <xdr:rowOff>19050</xdr:rowOff>
        </xdr:from>
        <xdr:to>
          <xdr:col>5</xdr:col>
          <xdr:colOff>9525</xdr:colOff>
          <xdr:row>13</xdr:row>
          <xdr:rowOff>171450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12</xdr:row>
          <xdr:rowOff>19050</xdr:rowOff>
        </xdr:from>
        <xdr:to>
          <xdr:col>4</xdr:col>
          <xdr:colOff>628650</xdr:colOff>
          <xdr:row>13</xdr:row>
          <xdr:rowOff>171450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16</xdr:row>
          <xdr:rowOff>19050</xdr:rowOff>
        </xdr:from>
        <xdr:to>
          <xdr:col>3</xdr:col>
          <xdr:colOff>0</xdr:colOff>
          <xdr:row>18</xdr:row>
          <xdr:rowOff>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2914650</xdr:colOff>
          <xdr:row>24</xdr:row>
          <xdr:rowOff>19050</xdr:rowOff>
        </xdr:from>
        <xdr:to>
          <xdr:col>3</xdr:col>
          <xdr:colOff>0</xdr:colOff>
          <xdr:row>26</xdr:row>
          <xdr:rowOff>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Set</a:t>
              </a:r>
            </a:p>
          </xdr:txBody>
        </xdr:sp>
        <xdr:clientData fPrintsWithSheet="0"/>
      </xdr:twoCellAnchor>
    </mc:Choice>
    <mc:Fallback/>
  </mc:AlternateContent>
  <xdr:twoCellAnchor>
    <xdr:from>
      <xdr:col>1</xdr:col>
      <xdr:colOff>0</xdr:colOff>
      <xdr:row>30</xdr:row>
      <xdr:rowOff>0</xdr:rowOff>
    </xdr:from>
    <xdr:to>
      <xdr:col>4</xdr:col>
      <xdr:colOff>1143000</xdr:colOff>
      <xdr:row>31</xdr:row>
      <xdr:rowOff>122142</xdr:rowOff>
    </xdr:to>
    <xdr:sp macro="" textlink="">
      <xdr:nvSpPr>
        <xdr:cNvPr id="27" name="Rectangle: Rounded Corners 24">
          <a:extLst>
            <a:ext uri="{FF2B5EF4-FFF2-40B4-BE49-F238E27FC236}">
              <a16:creationId xmlns:a16="http://schemas.microsoft.com/office/drawing/2014/main" id="{00000000-0008-0000-0000-00001B000000}"/>
            </a:ext>
          </a:extLst>
        </xdr:cNvPr>
        <xdr:cNvSpPr/>
      </xdr:nvSpPr>
      <xdr:spPr>
        <a:xfrm>
          <a:off x="302559" y="6096000"/>
          <a:ext cx="6174441" cy="312642"/>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Salary</a:t>
          </a:r>
        </a:p>
      </xdr:txBody>
    </xdr:sp>
    <xdr:clientData/>
  </xdr:twoCellAnchor>
  <xdr:twoCellAnchor>
    <xdr:from>
      <xdr:col>1</xdr:col>
      <xdr:colOff>21291</xdr:colOff>
      <xdr:row>6</xdr:row>
      <xdr:rowOff>188818</xdr:rowOff>
    </xdr:from>
    <xdr:to>
      <xdr:col>31</xdr:col>
      <xdr:colOff>231321</xdr:colOff>
      <xdr:row>7</xdr:row>
      <xdr:rowOff>68036</xdr:rowOff>
    </xdr:to>
    <xdr:sp macro="" textlink="">
      <xdr:nvSpPr>
        <xdr:cNvPr id="5" name="Rectangle: Rounded Corners 30">
          <a:extLst>
            <a:ext uri="{FF2B5EF4-FFF2-40B4-BE49-F238E27FC236}">
              <a16:creationId xmlns:a16="http://schemas.microsoft.com/office/drawing/2014/main" id="{00000000-0008-0000-0000-000005000000}"/>
            </a:ext>
          </a:extLst>
        </xdr:cNvPr>
        <xdr:cNvSpPr/>
      </xdr:nvSpPr>
      <xdr:spPr>
        <a:xfrm>
          <a:off x="320648" y="1535925"/>
          <a:ext cx="23519066" cy="69718"/>
        </a:xfrm>
        <a:prstGeom prst="roundRect">
          <a:avLst>
            <a:gd name="adj" fmla="val 5000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2</xdr:col>
          <xdr:colOff>704850</xdr:colOff>
          <xdr:row>35</xdr:row>
          <xdr:rowOff>180975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714375</xdr:colOff>
          <xdr:row>34</xdr:row>
          <xdr:rowOff>0</xdr:rowOff>
        </xdr:from>
        <xdr:to>
          <xdr:col>3</xdr:col>
          <xdr:colOff>85725</xdr:colOff>
          <xdr:row>35</xdr:row>
          <xdr:rowOff>180975</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34</xdr:row>
          <xdr:rowOff>0</xdr:rowOff>
        </xdr:from>
        <xdr:to>
          <xdr:col>5</xdr:col>
          <xdr:colOff>790575</xdr:colOff>
          <xdr:row>35</xdr:row>
          <xdr:rowOff>180975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xdr:twoCellAnchor>
    <xdr:from>
      <xdr:col>1</xdr:col>
      <xdr:colOff>11906</xdr:colOff>
      <xdr:row>80</xdr:row>
      <xdr:rowOff>4763</xdr:rowOff>
    </xdr:from>
    <xdr:to>
      <xdr:col>11</xdr:col>
      <xdr:colOff>24386</xdr:colOff>
      <xdr:row>80</xdr:row>
      <xdr:rowOff>71438</xdr:rowOff>
    </xdr:to>
    <xdr:sp macro="" textlink="">
      <xdr:nvSpPr>
        <xdr:cNvPr id="31" name="Rectangle: Rounded Corners 31">
          <a:extLst>
            <a:ext uri="{FF2B5EF4-FFF2-40B4-BE49-F238E27FC236}">
              <a16:creationId xmlns:a16="http://schemas.microsoft.com/office/drawing/2014/main" id="{00000000-0008-0000-0000-00001F000000}"/>
            </a:ext>
          </a:extLst>
        </xdr:cNvPr>
        <xdr:cNvSpPr/>
      </xdr:nvSpPr>
      <xdr:spPr>
        <a:xfrm>
          <a:off x="311263" y="15789049"/>
          <a:ext cx="11020659" cy="66675"/>
        </a:xfrm>
        <a:prstGeom prst="roundRect">
          <a:avLst>
            <a:gd name="adj" fmla="val 5000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9</xdr:col>
      <xdr:colOff>447674</xdr:colOff>
      <xdr:row>60</xdr:row>
      <xdr:rowOff>47624</xdr:rowOff>
    </xdr:from>
    <xdr:to>
      <xdr:col>18</xdr:col>
      <xdr:colOff>326572</xdr:colOff>
      <xdr:row>78</xdr:row>
      <xdr:rowOff>28575</xdr:rowOff>
    </xdr:to>
    <xdr:graphicFrame macro="">
      <xdr:nvGraphicFramePr>
        <xdr:cNvPr id="37" name="Chart 36">
          <a:extLst>
            <a:ext uri="{FF2B5EF4-FFF2-40B4-BE49-F238E27FC236}">
              <a16:creationId xmlns:a16="http://schemas.microsoft.com/office/drawing/2014/main" id="{00000000-0008-0000-00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299356</xdr:colOff>
      <xdr:row>85</xdr:row>
      <xdr:rowOff>40821</xdr:rowOff>
    </xdr:from>
    <xdr:to>
      <xdr:col>13</xdr:col>
      <xdr:colOff>231320</xdr:colOff>
      <xdr:row>112</xdr:row>
      <xdr:rowOff>0</xdr:rowOff>
    </xdr:to>
    <xdr:graphicFrame macro="">
      <xdr:nvGraphicFramePr>
        <xdr:cNvPr id="38" name="Chart 37">
          <a:extLst>
            <a:ext uri="{FF2B5EF4-FFF2-40B4-BE49-F238E27FC236}">
              <a16:creationId xmlns:a16="http://schemas.microsoft.com/office/drawing/2014/main" id="{00000000-0008-0000-0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8</xdr:col>
      <xdr:colOff>445544</xdr:colOff>
      <xdr:row>66</xdr:row>
      <xdr:rowOff>118085</xdr:rowOff>
    </xdr:from>
    <xdr:to>
      <xdr:col>8</xdr:col>
      <xdr:colOff>845360</xdr:colOff>
      <xdr:row>68</xdr:row>
      <xdr:rowOff>147423</xdr:rowOff>
    </xdr:to>
    <xdr:pic macro="[0]!addLiabilityRow">
      <xdr:nvPicPr>
        <xdr:cNvPr id="39" name="Graphic 38" descr="Badge Follow with solid fill">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9616758" y="13194549"/>
          <a:ext cx="399816" cy="410337"/>
        </a:xfrm>
        <a:prstGeom prst="rect">
          <a:avLst/>
        </a:prstGeom>
      </xdr:spPr>
    </xdr:pic>
    <xdr:clientData/>
  </xdr:twoCellAnchor>
  <xdr:twoCellAnchor>
    <xdr:from>
      <xdr:col>13</xdr:col>
      <xdr:colOff>435428</xdr:colOff>
      <xdr:row>85</xdr:row>
      <xdr:rowOff>25852</xdr:rowOff>
    </xdr:from>
    <xdr:to>
      <xdr:col>31</xdr:col>
      <xdr:colOff>244929</xdr:colOff>
      <xdr:row>112</xdr:row>
      <xdr:rowOff>0</xdr:rowOff>
    </xdr:to>
    <xdr:graphicFrame macro="">
      <xdr:nvGraphicFramePr>
        <xdr:cNvPr id="40" name="Chart 39">
          <a:extLst>
            <a:ext uri="{FF2B5EF4-FFF2-40B4-BE49-F238E27FC236}">
              <a16:creationId xmlns:a16="http://schemas.microsoft.com/office/drawing/2014/main" id="{00000000-0008-0000-0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120782</xdr:rowOff>
    </xdr:from>
    <xdr:to>
      <xdr:col>31</xdr:col>
      <xdr:colOff>210030</xdr:colOff>
      <xdr:row>39</xdr:row>
      <xdr:rowOff>0</xdr:rowOff>
    </xdr:to>
    <xdr:sp macro="" textlink="">
      <xdr:nvSpPr>
        <xdr:cNvPr id="41" name="Rectangle: Rounded Corners 30">
          <a:extLst>
            <a:ext uri="{FF2B5EF4-FFF2-40B4-BE49-F238E27FC236}">
              <a16:creationId xmlns:a16="http://schemas.microsoft.com/office/drawing/2014/main" id="{00000000-0008-0000-0000-000029000000}"/>
            </a:ext>
          </a:extLst>
        </xdr:cNvPr>
        <xdr:cNvSpPr/>
      </xdr:nvSpPr>
      <xdr:spPr>
        <a:xfrm>
          <a:off x="299357" y="7754389"/>
          <a:ext cx="23519066" cy="69718"/>
        </a:xfrm>
        <a:prstGeom prst="roundRect">
          <a:avLst>
            <a:gd name="adj" fmla="val 5000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1</xdr:col>
      <xdr:colOff>0</xdr:colOff>
      <xdr:row>80</xdr:row>
      <xdr:rowOff>0</xdr:rowOff>
    </xdr:from>
    <xdr:to>
      <xdr:col>31</xdr:col>
      <xdr:colOff>210030</xdr:colOff>
      <xdr:row>80</xdr:row>
      <xdr:rowOff>69718</xdr:rowOff>
    </xdr:to>
    <xdr:sp macro="" textlink="">
      <xdr:nvSpPr>
        <xdr:cNvPr id="42" name="Rectangle: Rounded Corners 30">
          <a:extLst>
            <a:ext uri="{FF2B5EF4-FFF2-40B4-BE49-F238E27FC236}">
              <a16:creationId xmlns:a16="http://schemas.microsoft.com/office/drawing/2014/main" id="{00000000-0008-0000-0000-00002A000000}"/>
            </a:ext>
          </a:extLst>
        </xdr:cNvPr>
        <xdr:cNvSpPr/>
      </xdr:nvSpPr>
      <xdr:spPr>
        <a:xfrm>
          <a:off x="299357" y="15784286"/>
          <a:ext cx="23519066" cy="69718"/>
        </a:xfrm>
        <a:prstGeom prst="roundRect">
          <a:avLst>
            <a:gd name="adj" fmla="val 50000"/>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p>
      </xdr:txBody>
    </xdr:sp>
    <xdr:clientData/>
  </xdr:twoCellAnchor>
  <xdr:twoCellAnchor>
    <xdr:from>
      <xdr:col>7</xdr:col>
      <xdr:colOff>0</xdr:colOff>
      <xdr:row>30</xdr:row>
      <xdr:rowOff>0</xdr:rowOff>
    </xdr:from>
    <xdr:to>
      <xdr:col>16</xdr:col>
      <xdr:colOff>362856</xdr:colOff>
      <xdr:row>31</xdr:row>
      <xdr:rowOff>122142</xdr:rowOff>
    </xdr:to>
    <xdr:sp macro="" textlink="">
      <xdr:nvSpPr>
        <xdr:cNvPr id="53" name="Rectangle: Rounded Corners 24">
          <a:extLst>
            <a:ext uri="{FF2B5EF4-FFF2-40B4-BE49-F238E27FC236}">
              <a16:creationId xmlns:a16="http://schemas.microsoft.com/office/drawing/2014/main" id="{00000000-0008-0000-0000-000035000000}"/>
            </a:ext>
          </a:extLst>
        </xdr:cNvPr>
        <xdr:cNvSpPr/>
      </xdr:nvSpPr>
      <xdr:spPr>
        <a:xfrm>
          <a:off x="8853714" y="5814786"/>
          <a:ext cx="6422571" cy="303570"/>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Arial" panose="020B0604020202020204" pitchFamily="34" charset="0"/>
              <a:cs typeface="Arial" panose="020B0604020202020204" pitchFamily="34" charset="0"/>
            </a:rPr>
            <a:t>Reccuring</a:t>
          </a:r>
          <a:r>
            <a:rPr lang="en-US" sz="1400" b="1" baseline="0">
              <a:solidFill>
                <a:sysClr val="windowText" lastClr="000000"/>
              </a:solidFill>
              <a:latin typeface="Arial" panose="020B0604020202020204" pitchFamily="34" charset="0"/>
              <a:cs typeface="Arial" panose="020B0604020202020204" pitchFamily="34" charset="0"/>
            </a:rPr>
            <a:t> Expenses</a:t>
          </a:r>
          <a:endParaRPr lang="en-US" sz="1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10</xdr:col>
      <xdr:colOff>311727</xdr:colOff>
      <xdr:row>34</xdr:row>
      <xdr:rowOff>92363</xdr:rowOff>
    </xdr:from>
    <xdr:to>
      <xdr:col>14</xdr:col>
      <xdr:colOff>493156</xdr:colOff>
      <xdr:row>36</xdr:row>
      <xdr:rowOff>4947</xdr:rowOff>
    </xdr:to>
    <xdr:sp macro="[0]!toRecc" textlink="">
      <xdr:nvSpPr>
        <xdr:cNvPr id="59" name="Rectangle: Rounded Corners 58">
          <a:extLst>
            <a:ext uri="{FF2B5EF4-FFF2-40B4-BE49-F238E27FC236}">
              <a16:creationId xmlns:a16="http://schemas.microsoft.com/office/drawing/2014/main" id="{00000000-0008-0000-0000-00003B000000}"/>
            </a:ext>
          </a:extLst>
        </xdr:cNvPr>
        <xdr:cNvSpPr/>
      </xdr:nvSpPr>
      <xdr:spPr>
        <a:xfrm>
          <a:off x="11453091" y="6788727"/>
          <a:ext cx="2686792" cy="305129"/>
        </a:xfrm>
        <a:prstGeom prst="roundRect">
          <a:avLst>
            <a:gd name="adj" fmla="val 50000"/>
          </a:avLst>
        </a:prstGeom>
        <a:gradFill>
          <a:gsLst>
            <a:gs pos="0">
              <a:srgbClr val="7EDCBF"/>
            </a:gs>
            <a:gs pos="7200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i="0">
              <a:solidFill>
                <a:sysClr val="windowText" lastClr="000000"/>
              </a:solidFill>
              <a:effectLst/>
              <a:latin typeface="Arial" panose="020B0604020202020204" pitchFamily="34" charset="0"/>
              <a:ea typeface="+mn-ea"/>
              <a:cs typeface="Arial" panose="020B0604020202020204" pitchFamily="34" charset="0"/>
            </a:rPr>
            <a:t>Reccuring</a:t>
          </a:r>
          <a:r>
            <a:rPr lang="en-US" sz="1400" b="1" i="0" baseline="0">
              <a:solidFill>
                <a:sysClr val="windowText" lastClr="000000"/>
              </a:solidFill>
              <a:effectLst/>
              <a:latin typeface="Arial" panose="020B0604020202020204" pitchFamily="34" charset="0"/>
              <a:ea typeface="+mn-ea"/>
              <a:cs typeface="Arial" panose="020B0604020202020204" pitchFamily="34" charset="0"/>
            </a:rPr>
            <a:t> Expenses</a:t>
          </a:r>
          <a:r>
            <a:rPr lang="en-US" sz="1100" b="1" i="0" baseline="0">
              <a:solidFill>
                <a:schemeClr val="lt1"/>
              </a:solidFill>
              <a:effectLst/>
              <a:latin typeface="+mn-lt"/>
              <a:ea typeface="+mn-ea"/>
              <a:cs typeface="+mn-cs"/>
            </a:rPr>
            <a:t> </a:t>
          </a:r>
          <a:r>
            <a:rPr lang="en-US" sz="1400" b="1">
              <a:solidFill>
                <a:sysClr val="windowText" lastClr="000000"/>
              </a:solidFill>
              <a:effectLst/>
              <a:latin typeface="+mn-lt"/>
              <a:ea typeface="+mn-ea"/>
              <a:cs typeface="+mn-cs"/>
            </a:rPr>
            <a:t>➔</a:t>
          </a:r>
          <a:endParaRPr lang="en-US" sz="1100" b="1" i="0">
            <a:solidFill>
              <a:sysClr val="windowText" lastClr="000000"/>
            </a:solidFill>
            <a:effectLst/>
            <a:latin typeface="+mn-lt"/>
            <a:ea typeface="+mn-ea"/>
            <a:cs typeface="+mn-cs"/>
          </a:endParaRPr>
        </a:p>
      </xdr:txBody>
    </xdr:sp>
    <xdr:clientData/>
  </xdr:twoCellAnchor>
  <xdr:twoCellAnchor>
    <xdr:from>
      <xdr:col>1</xdr:col>
      <xdr:colOff>0</xdr:colOff>
      <xdr:row>82</xdr:row>
      <xdr:rowOff>76202</xdr:rowOff>
    </xdr:from>
    <xdr:to>
      <xdr:col>4</xdr:col>
      <xdr:colOff>1131794</xdr:colOff>
      <xdr:row>84</xdr:row>
      <xdr:rowOff>0</xdr:rowOff>
    </xdr:to>
    <xdr:sp macro="[0]!refreshall" textlink="">
      <xdr:nvSpPr>
        <xdr:cNvPr id="46" name="Rounded Rectangle 45">
          <a:extLst>
            <a:ext uri="{FF2B5EF4-FFF2-40B4-BE49-F238E27FC236}">
              <a16:creationId xmlns:a16="http://schemas.microsoft.com/office/drawing/2014/main" id="{00000000-0008-0000-0000-00002E000000}"/>
            </a:ext>
            <a:ext uri="{147F2762-F138-4A5C-976F-8EAC2B608ADB}">
              <a16:predDERef xmlns:a16="http://schemas.microsoft.com/office/drawing/2014/main" pred="{00000000-0008-0000-0000-00003B000000}"/>
            </a:ext>
          </a:extLst>
        </xdr:cNvPr>
        <xdr:cNvSpPr/>
      </xdr:nvSpPr>
      <xdr:spPr>
        <a:xfrm>
          <a:off x="302559" y="16302320"/>
          <a:ext cx="6163235" cy="316004"/>
        </a:xfrm>
        <a:prstGeom prst="roundRect">
          <a:avLst>
            <a:gd name="adj" fmla="val 50000"/>
          </a:avLst>
        </a:prstGeom>
        <a:gradFill>
          <a:gsLst>
            <a:gs pos="53000">
              <a:srgbClr val="7EDCBF"/>
            </a:gs>
            <a:gs pos="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1400" b="1">
              <a:solidFill>
                <a:sysClr val="windowText" lastClr="000000"/>
              </a:solidFill>
              <a:latin typeface="Arial" panose="020B0604020202020204" pitchFamily="34" charset="0"/>
              <a:cs typeface="Arial" panose="020B0604020202020204" pitchFamily="34" charset="0"/>
            </a:rPr>
            <a:t>Net Profit/CPF</a:t>
          </a:r>
        </a:p>
      </xdr:txBody>
    </xdr:sp>
    <xdr:clientData/>
  </xdr:twoCellAnchor>
  <xdr:twoCellAnchor>
    <xdr:from>
      <xdr:col>5</xdr:col>
      <xdr:colOff>134470</xdr:colOff>
      <xdr:row>82</xdr:row>
      <xdr:rowOff>78442</xdr:rowOff>
    </xdr:from>
    <xdr:to>
      <xdr:col>6</xdr:col>
      <xdr:colOff>432875</xdr:colOff>
      <xdr:row>84</xdr:row>
      <xdr:rowOff>7946</xdr:rowOff>
    </xdr:to>
    <xdr:sp macro="[0]!toMain" textlink="">
      <xdr:nvSpPr>
        <xdr:cNvPr id="47" name="Rectangle: Rounded Corners 46">
          <a:extLst>
            <a:ext uri="{FF2B5EF4-FFF2-40B4-BE49-F238E27FC236}">
              <a16:creationId xmlns:a16="http://schemas.microsoft.com/office/drawing/2014/main" id="{00000000-0008-0000-0000-00002F000000}"/>
            </a:ext>
          </a:extLst>
        </xdr:cNvPr>
        <xdr:cNvSpPr/>
      </xdr:nvSpPr>
      <xdr:spPr>
        <a:xfrm>
          <a:off x="6645088" y="16304560"/>
          <a:ext cx="1396581" cy="321710"/>
        </a:xfrm>
        <a:prstGeom prst="roundRect">
          <a:avLst>
            <a:gd name="adj" fmla="val 50000"/>
          </a:avLst>
        </a:prstGeom>
        <a:gradFill>
          <a:gsLst>
            <a:gs pos="0">
              <a:srgbClr val="7EDCBF"/>
            </a:gs>
            <a:gs pos="72000">
              <a:srgbClr val="A8BCEA"/>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ysClr val="windowText" lastClr="000000"/>
              </a:solidFill>
              <a:latin typeface="Arial" panose="020B0604020202020204" pitchFamily="34" charset="0"/>
              <a:cs typeface="Arial" panose="020B0604020202020204" pitchFamily="34" charset="0"/>
            </a:rPr>
            <a:t>Main ➔</a:t>
          </a:r>
          <a:endParaRPr lang="en-US" sz="1100" b="1" i="0">
            <a:solidFill>
              <a:schemeClr val="lt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19050</xdr:colOff>
      <xdr:row>1</xdr:row>
      <xdr:rowOff>209550</xdr:rowOff>
    </xdr:from>
    <xdr:to>
      <xdr:col>7</xdr:col>
      <xdr:colOff>1381125</xdr:colOff>
      <xdr:row>1</xdr:row>
      <xdr:rowOff>542925</xdr:rowOff>
    </xdr:to>
    <xdr:sp macro="[0]!addinvestmentstock"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34250" y="400050"/>
          <a:ext cx="1362075" cy="333375"/>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Add Stock to Ledger</a:t>
          </a:r>
        </a:p>
      </xdr:txBody>
    </xdr:sp>
    <xdr:clientData/>
  </xdr:twoCellAnchor>
  <xdr:twoCellAnchor editAs="oneCell">
    <xdr:from>
      <xdr:col>6</xdr:col>
      <xdr:colOff>352426</xdr:colOff>
      <xdr:row>1</xdr:row>
      <xdr:rowOff>200025</xdr:rowOff>
    </xdr:from>
    <xdr:to>
      <xdr:col>7</xdr:col>
      <xdr:colOff>0</xdr:colOff>
      <xdr:row>1</xdr:row>
      <xdr:rowOff>552449</xdr:rowOff>
    </xdr:to>
    <xdr:pic macro="[0]!refreshall">
      <xdr:nvPicPr>
        <xdr:cNvPr id="4" name="Graphic 3" descr="Refresh with solid fill">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934201" y="390525"/>
          <a:ext cx="352424" cy="352424"/>
        </a:xfrm>
        <a:prstGeom prst="rect">
          <a:avLst/>
        </a:prstGeom>
      </xdr:spPr>
    </xdr:pic>
    <xdr:clientData/>
  </xdr:twoCellAnchor>
  <xdr:twoCellAnchor>
    <xdr:from>
      <xdr:col>1</xdr:col>
      <xdr:colOff>0</xdr:colOff>
      <xdr:row>1</xdr:row>
      <xdr:rowOff>4483</xdr:rowOff>
    </xdr:from>
    <xdr:to>
      <xdr:col>2</xdr:col>
      <xdr:colOff>196102</xdr:colOff>
      <xdr:row>1</xdr:row>
      <xdr:rowOff>383271</xdr:rowOff>
    </xdr:to>
    <xdr:sp macro="[0]!backToDashboard"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09550" y="194983"/>
          <a:ext cx="1100977" cy="378788"/>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400050</xdr:colOff>
      <xdr:row>1</xdr:row>
      <xdr:rowOff>85725</xdr:rowOff>
    </xdr:from>
    <xdr:to>
      <xdr:col>5</xdr:col>
      <xdr:colOff>1057275</xdr:colOff>
      <xdr:row>1</xdr:row>
      <xdr:rowOff>419100</xdr:rowOff>
    </xdr:to>
    <xdr:sp macro="[0]!addinvestmentstock" textlink="">
      <xdr:nvSpPr>
        <xdr:cNvPr id="14" name="Rectangle: Rounded Corners 1">
          <a:extLst>
            <a:ext uri="{FF2B5EF4-FFF2-40B4-BE49-F238E27FC236}">
              <a16:creationId xmlns:a16="http://schemas.microsoft.com/office/drawing/2014/main" id="{00000000-0008-0000-0200-00000E000000}"/>
            </a:ext>
          </a:extLst>
        </xdr:cNvPr>
        <xdr:cNvSpPr/>
      </xdr:nvSpPr>
      <xdr:spPr>
        <a:xfrm>
          <a:off x="5467350" y="276225"/>
          <a:ext cx="1638300" cy="333375"/>
        </a:xfrm>
        <a:prstGeom prst="roundRect">
          <a:avLst/>
        </a:prstGeom>
        <a:solidFill>
          <a:schemeClr val="accent2">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chemeClr val="bg1"/>
              </a:solidFill>
              <a:latin typeface="Arial" panose="020B0604020202020204" pitchFamily="34" charset="0"/>
              <a:ea typeface="+mn-ea"/>
              <a:cs typeface="Arial" panose="020B0604020202020204" pitchFamily="34" charset="0"/>
            </a:rPr>
            <a:t>Add</a:t>
          </a:r>
          <a:r>
            <a:rPr lang="en-US" sz="1200" b="1" baseline="0">
              <a:solidFill>
                <a:schemeClr val="bg1"/>
              </a:solidFill>
              <a:latin typeface="Arial" panose="020B0604020202020204" pitchFamily="34" charset="0"/>
              <a:ea typeface="+mn-ea"/>
              <a:cs typeface="Arial" panose="020B0604020202020204" pitchFamily="34" charset="0"/>
            </a:rPr>
            <a:t> Liability</a:t>
          </a:r>
          <a:endParaRPr lang="en-US" sz="1050" b="1">
            <a:solidFill>
              <a:schemeClr val="bg1"/>
            </a:solidFill>
          </a:endParaRPr>
        </a:p>
        <a:p>
          <a:pPr algn="ctr"/>
          <a:endParaRPr lang="en-US" sz="1050" b="1">
            <a:solidFill>
              <a:schemeClr val="bg1"/>
            </a:solidFill>
          </a:endParaRPr>
        </a:p>
      </xdr:txBody>
    </xdr:sp>
    <xdr:clientData/>
  </xdr:twoCellAnchor>
  <xdr:twoCellAnchor>
    <xdr:from>
      <xdr:col>1</xdr:col>
      <xdr:colOff>28575</xdr:colOff>
      <xdr:row>1</xdr:row>
      <xdr:rowOff>66675</xdr:rowOff>
    </xdr:from>
    <xdr:to>
      <xdr:col>2</xdr:col>
      <xdr:colOff>205627</xdr:colOff>
      <xdr:row>1</xdr:row>
      <xdr:rowOff>445463</xdr:rowOff>
    </xdr:to>
    <xdr:sp macro="[0]!backToDashboard"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85750" y="257175"/>
          <a:ext cx="1100977" cy="378788"/>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609600</xdr:colOff>
      <xdr:row>1</xdr:row>
      <xdr:rowOff>31750</xdr:rowOff>
    </xdr:from>
    <xdr:to>
      <xdr:col>6</xdr:col>
      <xdr:colOff>758825</xdr:colOff>
      <xdr:row>1</xdr:row>
      <xdr:rowOff>365125</xdr:rowOff>
    </xdr:to>
    <xdr:sp macro="[0]!addReccPmtRow" textlink="">
      <xdr:nvSpPr>
        <xdr:cNvPr id="6" name="Rectangle: Rounded Corners 1">
          <a:extLst>
            <a:ext uri="{FF2B5EF4-FFF2-40B4-BE49-F238E27FC236}">
              <a16:creationId xmlns:a16="http://schemas.microsoft.com/office/drawing/2014/main" id="{00000000-0008-0000-0300-000006000000}"/>
            </a:ext>
          </a:extLst>
        </xdr:cNvPr>
        <xdr:cNvSpPr/>
      </xdr:nvSpPr>
      <xdr:spPr>
        <a:xfrm>
          <a:off x="5372100" y="215900"/>
          <a:ext cx="1673225" cy="333375"/>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200" b="1">
              <a:solidFill>
                <a:schemeClr val="bg1"/>
              </a:solidFill>
              <a:latin typeface="Arial" panose="020B0604020202020204" pitchFamily="34" charset="0"/>
              <a:ea typeface="+mn-ea"/>
              <a:cs typeface="Arial" panose="020B0604020202020204" pitchFamily="34" charset="0"/>
            </a:rPr>
            <a:t>Add Expenses</a:t>
          </a:r>
          <a:endParaRPr lang="en-US" sz="1050" b="1">
            <a:solidFill>
              <a:schemeClr val="bg1"/>
            </a:solidFill>
          </a:endParaRPr>
        </a:p>
      </xdr:txBody>
    </xdr:sp>
    <xdr:clientData/>
  </xdr:twoCellAnchor>
  <xdr:twoCellAnchor>
    <xdr:from>
      <xdr:col>1</xdr:col>
      <xdr:colOff>1</xdr:colOff>
      <xdr:row>1</xdr:row>
      <xdr:rowOff>0</xdr:rowOff>
    </xdr:from>
    <xdr:to>
      <xdr:col>2</xdr:col>
      <xdr:colOff>266701</xdr:colOff>
      <xdr:row>1</xdr:row>
      <xdr:rowOff>333375</xdr:rowOff>
    </xdr:to>
    <xdr:sp macro="[0]!backToDashboard" textlink="">
      <xdr:nvSpPr>
        <xdr:cNvPr id="7" name="Rectangle: Rounded Corners 1">
          <a:extLst>
            <a:ext uri="{FF2B5EF4-FFF2-40B4-BE49-F238E27FC236}">
              <a16:creationId xmlns:a16="http://schemas.microsoft.com/office/drawing/2014/main" id="{00000000-0008-0000-0300-000007000000}"/>
            </a:ext>
          </a:extLst>
        </xdr:cNvPr>
        <xdr:cNvSpPr/>
      </xdr:nvSpPr>
      <xdr:spPr>
        <a:xfrm>
          <a:off x="609601" y="184150"/>
          <a:ext cx="927100" cy="333375"/>
        </a:xfrm>
        <a:prstGeom prst="roundRect">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Dashboard</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0</xdr:colOff>
      <xdr:row>0</xdr:row>
      <xdr:rowOff>0</xdr:rowOff>
    </xdr:from>
    <xdr:to>
      <xdr:col>20</xdr:col>
      <xdr:colOff>336177</xdr:colOff>
      <xdr:row>14</xdr:row>
      <xdr:rowOff>64994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15</xdr:row>
      <xdr:rowOff>114300</xdr:rowOff>
    </xdr:from>
    <xdr:to>
      <xdr:col>20</xdr:col>
      <xdr:colOff>304800</xdr:colOff>
      <xdr:row>30</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31</xdr:row>
      <xdr:rowOff>0</xdr:rowOff>
    </xdr:from>
    <xdr:to>
      <xdr:col>20</xdr:col>
      <xdr:colOff>304800</xdr:colOff>
      <xdr:row>45</xdr:row>
      <xdr:rowOff>76200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1175498</xdr:colOff>
      <xdr:row>14</xdr:row>
      <xdr:rowOff>0</xdr:rowOff>
    </xdr:from>
    <xdr:to>
      <xdr:col>12</xdr:col>
      <xdr:colOff>0</xdr:colOff>
      <xdr:row>15</xdr:row>
      <xdr:rowOff>188288</xdr:rowOff>
    </xdr:to>
    <xdr:sp macro="[0]!backToDashboard" textlink="">
      <xdr:nvSpPr>
        <xdr:cNvPr id="5" name="Rectangle: Rounded Corners 4">
          <a:extLst>
            <a:ext uri="{FF2B5EF4-FFF2-40B4-BE49-F238E27FC236}">
              <a16:creationId xmlns:a16="http://schemas.microsoft.com/office/drawing/2014/main" id="{00000000-0008-0000-0500-000005000000}"/>
            </a:ext>
          </a:extLst>
        </xdr:cNvPr>
        <xdr:cNvSpPr/>
      </xdr:nvSpPr>
      <xdr:spPr>
        <a:xfrm>
          <a:off x="11786348" y="2676525"/>
          <a:ext cx="1081927" cy="378788"/>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t>Dashboard</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190500</xdr:colOff>
      <xdr:row>17</xdr:row>
      <xdr:rowOff>33337</xdr:rowOff>
    </xdr:from>
    <xdr:to>
      <xdr:col>15</xdr:col>
      <xdr:colOff>495300</xdr:colOff>
      <xdr:row>31</xdr:row>
      <xdr:rowOff>109537</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409575</xdr:colOff>
          <xdr:row>9</xdr:row>
          <xdr:rowOff>104775</xdr:rowOff>
        </xdr:from>
        <xdr:to>
          <xdr:col>20</xdr:col>
          <xdr:colOff>333375</xdr:colOff>
          <xdr:row>10</xdr:row>
          <xdr:rowOff>114300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180975</xdr:colOff>
      <xdr:row>62</xdr:row>
      <xdr:rowOff>0</xdr:rowOff>
    </xdr:from>
    <xdr:to>
      <xdr:col>3</xdr:col>
      <xdr:colOff>0</xdr:colOff>
      <xdr:row>62</xdr:row>
      <xdr:rowOff>0</xdr:rowOff>
    </xdr:to>
    <xdr:graphicFrame macro="">
      <xdr:nvGraphicFramePr>
        <xdr:cNvPr id="17" name="Chart 1">
          <a:extLst>
            <a:ext uri="{FF2B5EF4-FFF2-40B4-BE49-F238E27FC236}">
              <a16:creationId xmlns:a16="http://schemas.microsoft.com/office/drawing/2014/main" id="{00000000-0008-0000-0900-000011000000}"/>
            </a:ext>
            <a:ext uri="{147F2762-F138-4A5C-976F-8EAC2B608ADB}">
              <a16:predDERef xmlns:a16="http://schemas.microsoft.com/office/drawing/2014/main" pre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xdr:row>
      <xdr:rowOff>0</xdr:rowOff>
    </xdr:from>
    <xdr:to>
      <xdr:col>1</xdr:col>
      <xdr:colOff>1098176</xdr:colOff>
      <xdr:row>1</xdr:row>
      <xdr:rowOff>397421</xdr:rowOff>
    </xdr:to>
    <xdr:sp macro="[0]!backToDashboard" textlink="">
      <xdr:nvSpPr>
        <xdr:cNvPr id="63" name="Rectangle: Rounded Corners 2">
          <a:extLst>
            <a:ext uri="{FF2B5EF4-FFF2-40B4-BE49-F238E27FC236}">
              <a16:creationId xmlns:a16="http://schemas.microsoft.com/office/drawing/2014/main" id="{00000000-0008-0000-0900-00003F000000}"/>
            </a:ext>
          </a:extLst>
        </xdr:cNvPr>
        <xdr:cNvSpPr/>
      </xdr:nvSpPr>
      <xdr:spPr>
        <a:xfrm>
          <a:off x="190500" y="605118"/>
          <a:ext cx="1098176" cy="397421"/>
        </a:xfrm>
        <a:prstGeom prst="roundRect">
          <a:avLst/>
        </a:prstGeom>
        <a:solidFill>
          <a:srgbClr val="C0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1"/>
            <a:t>Dashboard</a:t>
          </a:r>
        </a:p>
      </xdr:txBody>
    </xdr:sp>
    <xdr:clientData/>
  </xdr:twoCellAnchor>
  <xdr:twoCellAnchor>
    <xdr:from>
      <xdr:col>1</xdr:col>
      <xdr:colOff>1239370</xdr:colOff>
      <xdr:row>0</xdr:row>
      <xdr:rowOff>593912</xdr:rowOff>
    </xdr:from>
    <xdr:to>
      <xdr:col>1</xdr:col>
      <xdr:colOff>2337546</xdr:colOff>
      <xdr:row>1</xdr:row>
      <xdr:rowOff>388844</xdr:rowOff>
    </xdr:to>
    <xdr:sp macro="[0]!toLedger" textlink="">
      <xdr:nvSpPr>
        <xdr:cNvPr id="62" name="Rectangle: Rounded Corners 3">
          <a:extLst>
            <a:ext uri="{FF2B5EF4-FFF2-40B4-BE49-F238E27FC236}">
              <a16:creationId xmlns:a16="http://schemas.microsoft.com/office/drawing/2014/main" id="{00000000-0008-0000-0900-00003E000000}"/>
            </a:ext>
          </a:extLst>
        </xdr:cNvPr>
        <xdr:cNvSpPr/>
      </xdr:nvSpPr>
      <xdr:spPr>
        <a:xfrm>
          <a:off x="1429870" y="593912"/>
          <a:ext cx="1098176" cy="400050"/>
        </a:xfrm>
        <a:prstGeom prst="roundRect">
          <a:avLst/>
        </a:prstGeom>
        <a:solidFill>
          <a:schemeClr val="accent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Edit</a:t>
          </a:r>
          <a:r>
            <a:rPr lang="en-US" sz="1400" b="1" baseline="0"/>
            <a:t> Ledger</a:t>
          </a:r>
          <a:endParaRPr lang="en-US" sz="1400" b="1"/>
        </a:p>
      </xdr:txBody>
    </xdr:sp>
    <xdr:clientData/>
  </xdr:twoCellAnchor>
  <xdr:twoCellAnchor>
    <xdr:from>
      <xdr:col>8</xdr:col>
      <xdr:colOff>381001</xdr:colOff>
      <xdr:row>0</xdr:row>
      <xdr:rowOff>593912</xdr:rowOff>
    </xdr:from>
    <xdr:to>
      <xdr:col>9</xdr:col>
      <xdr:colOff>22412</xdr:colOff>
      <xdr:row>1</xdr:row>
      <xdr:rowOff>392205</xdr:rowOff>
    </xdr:to>
    <xdr:sp macro="[0]!industryPie" textlink="">
      <xdr:nvSpPr>
        <xdr:cNvPr id="35" name="Rectangle: Rounded Corners 4">
          <a:extLst>
            <a:ext uri="{FF2B5EF4-FFF2-40B4-BE49-F238E27FC236}">
              <a16:creationId xmlns:a16="http://schemas.microsoft.com/office/drawing/2014/main" id="{00000000-0008-0000-0900-000023000000}"/>
            </a:ext>
          </a:extLst>
        </xdr:cNvPr>
        <xdr:cNvSpPr/>
      </xdr:nvSpPr>
      <xdr:spPr>
        <a:xfrm>
          <a:off x="10914530" y="593912"/>
          <a:ext cx="1277470" cy="403411"/>
        </a:xfrm>
        <a:prstGeom prst="roundRect">
          <a:avLst/>
        </a:prstGeom>
        <a:solidFill>
          <a:schemeClr val="accent1">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Refresh</a:t>
          </a:r>
          <a:r>
            <a:rPr lang="en-US" sz="1200" b="1" baseline="0"/>
            <a:t> Graphs</a:t>
          </a:r>
          <a:endParaRPr lang="en-US" sz="1200" b="1"/>
        </a:p>
      </xdr:txBody>
    </xdr:sp>
    <xdr:clientData/>
  </xdr:twoCellAnchor>
  <xdr:twoCellAnchor editAs="oneCell">
    <xdr:from>
      <xdr:col>7</xdr:col>
      <xdr:colOff>593912</xdr:colOff>
      <xdr:row>0</xdr:row>
      <xdr:rowOff>230840</xdr:rowOff>
    </xdr:from>
    <xdr:to>
      <xdr:col>8</xdr:col>
      <xdr:colOff>268942</xdr:colOff>
      <xdr:row>1</xdr:row>
      <xdr:rowOff>410134</xdr:rowOff>
    </xdr:to>
    <xdr:pic macro="[0]!addRow">
      <xdr:nvPicPr>
        <xdr:cNvPr id="6" name="Graphic 5" descr="Badge Follow with solid fill">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477500" y="230840"/>
          <a:ext cx="414618" cy="414618"/>
        </a:xfrm>
        <a:prstGeom prst="rect">
          <a:avLst/>
        </a:prstGeom>
      </xdr:spPr>
    </xdr:pic>
    <xdr:clientData/>
  </xdr:twoCellAnchor>
  <xdr:twoCellAnchor>
    <xdr:from>
      <xdr:col>9</xdr:col>
      <xdr:colOff>241300</xdr:colOff>
      <xdr:row>1</xdr:row>
      <xdr:rowOff>79375</xdr:rowOff>
    </xdr:from>
    <xdr:to>
      <xdr:col>17</xdr:col>
      <xdr:colOff>1638</xdr:colOff>
      <xdr:row>47</xdr:row>
      <xdr:rowOff>79375</xdr:rowOff>
    </xdr:to>
    <xdr:graphicFrame macro="">
      <xdr:nvGraphicFramePr>
        <xdr:cNvPr id="7" name="industry_pie">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241300</xdr:colOff>
      <xdr:row>53</xdr:row>
      <xdr:rowOff>149225</xdr:rowOff>
    </xdr:from>
    <xdr:to>
      <xdr:col>17</xdr:col>
      <xdr:colOff>1638</xdr:colOff>
      <xdr:row>106</xdr:row>
      <xdr:rowOff>130175</xdr:rowOff>
    </xdr:to>
    <xdr:graphicFrame macro="">
      <xdr:nvGraphicFramePr>
        <xdr:cNvPr id="8" name="gain_loss">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196102</xdr:colOff>
      <xdr:row>50</xdr:row>
      <xdr:rowOff>62754</xdr:rowOff>
    </xdr:from>
    <xdr:to>
      <xdr:col>20</xdr:col>
      <xdr:colOff>767602</xdr:colOff>
      <xdr:row>101</xdr:row>
      <xdr:rowOff>161365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6">
  <rv s="0">
    <v>http://en.wikipedia.org/wiki/Public_domain</v>
    <v>Public domain</v>
  </rv>
  <rv s="0">
    <v>http://en.wikipedia.org/wiki/JPMorgan_Chase</v>
    <v>Wikipedia</v>
  </rv>
  <rv s="1">
    <v>0</v>
    <v>1</v>
  </rv>
  <rv s="2">
    <v>6</v>
    <v>https://www.bing.com/th?id=AMMS_06392bb84e5fdc62d2356a2306f4ae1e&amp;qlt=95</v>
    <v>2</v>
    <v>0</v>
    <v>https://www.bing.com/images/search?form=xlimg&amp;q=jpmorgan+chase</v>
    <v>Image of JPMORGAN CHASE &amp; CO.</v>
  </rv>
  <rv s="0">
    <v>https://www.bing.com/financeapi/forcetrigger?t=a1waa2&amp;q=XNYS%3aJPM&amp;form=skydnc</v>
    <v>Learn more on Bing</v>
  </rv>
  <rv s="3">
    <v>en-US</v>
    <v>a1waa2</v>
    <v>268435456</v>
    <v>1</v>
    <v>Powered by Refinitiv</v>
    <v>0</v>
    <v>JPMORGAN CHASE &amp; CO. (XNYS:JPM)</v>
    <v>3</v>
    <v>4</v>
    <v>Finance</v>
    <v>5</v>
    <v>172.96</v>
    <v>127.35</v>
    <v>1.0971</v>
    <v>2.4500000000000002</v>
    <v>1.6719999999999999E-2</v>
    <v>USD</v>
    <v>JPMorgan Chase &amp; Co. is a financial holding company. The Company is engaged in investment banking, financial services and asset management. It operates in four segments, as well as a Corporate segment. Its segments are Consumer &amp; Community Banking, Corporate &amp; Investment Bank, Commercial Banking and Asset Management. The Consumer &amp; Community Banking segment offers services to consumers and businesses through bank branches, automatic teller machines, online, mobile and telephone banking. The Corporate &amp; Investment Bank segment, comprising Banking and Markets and Investor Services, offers investment banking, market-making, prime brokerage, and treasury and securities products and services to corporations, investors, financial institutions, and government and municipal entities. The Commercial Banking segment provides financial solutions, including lending, treasury services, investment banking and asset management. The Asset Management segment comprises investment and wealth management.</v>
    <v>265790</v>
    <v>New York Stock Exchange</v>
    <v>XNYS</v>
    <v>XNYS</v>
    <v>383 Madison Ave, NEW YORK, NY, 10017-3217 US</v>
    <v>150.57</v>
    <v>3</v>
    <v>Banking Services</v>
    <v>Stock</v>
    <v>44587.659402985941</v>
    <v>4</v>
    <v>147.08000000000001</v>
    <v>440275528680</v>
    <v>JPMORGAN CHASE &amp; CO.</v>
    <v>JPMORGAN CHASE &amp; CO.</v>
    <v>148.84</v>
    <v>9.5489999999999995</v>
    <v>146.53</v>
    <v>148.97999999999999</v>
    <v>2955266000</v>
    <v>JPM</v>
    <v>JPMORGAN CHASE &amp; CO. (XNYS:JPM)</v>
    <v>5562456</v>
    <v>15244667</v>
    <v>1968</v>
  </rv>
  <rv s="4">
    <v>5</v>
  </rv>
  <rv s="0">
    <v>https://www.bing.com/financeapi/forcetrigger?t=a24kar&amp;q=XNAS%3aTSLA&amp;form=skydnc</v>
    <v>Learn more on Bing</v>
  </rv>
  <rv s="5">
    <v>en-US</v>
    <v>a24kar</v>
    <v>268435456</v>
    <v>1</v>
    <v>Powered by Refinitiv</v>
    <v>7</v>
    <v>TESLA, INC. (XNAS:TSLA)</v>
    <v>8</v>
    <v>9</v>
    <v>Finance</v>
    <v>5</v>
    <v>1243.49</v>
    <v>539.49</v>
    <v>1.9799</v>
    <v>24.6</v>
    <v>2.6785999999999997E-2</v>
    <v>USD</v>
    <v>Tesla, Inc. designs, develops, manufactures, sells and leases electric vehicles and energy generation and storage systems, and offers services related to its sustainable energy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systems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The Company's energy storage products include Powerwall, Powerpack and Megapack.</v>
    <v>70757</v>
    <v>Nasdaq Stock Market</v>
    <v>XNAS</v>
    <v>XNAS</v>
    <v>13101 Harold Green Road, AUSTIN, TX, 78725 US</v>
    <v>963.23</v>
    <v>Automobiles &amp; Auto Parts</v>
    <v>Stock</v>
    <v>44587.659429536718</v>
    <v>7</v>
    <v>939.00009999999997</v>
    <v>947021895000</v>
    <v>TESLA, INC.</v>
    <v>TESLA, INC.</v>
    <v>952.11</v>
    <v>298.01929999999999</v>
    <v>918.4</v>
    <v>943</v>
    <v>1004265000</v>
    <v>TSLA</v>
    <v>TESLA, INC. (XNAS:TSLA)</v>
    <v>8050221</v>
    <v>26884773</v>
    <v>2003</v>
  </rv>
  <rv s="4">
    <v>8</v>
  </rv>
  <rv s="0">
    <v>http://nl.wikipedia.org/wiki/Apple_Inc.</v>
    <v>Wikipedia</v>
  </rv>
  <rv s="1">
    <v>0</v>
    <v>10</v>
  </rv>
  <rv s="2">
    <v>6</v>
    <v>https://www.bing.com/th?id=AMMS_5bc8393c85a56e6bb6524ea7b3970bad&amp;qlt=95</v>
    <v>11</v>
    <v>0</v>
    <v>https://www.bing.com/images/search?form=xlimg&amp;q=apple+inc</v>
    <v>Image of APPLE INC.</v>
  </rv>
  <rv s="0">
    <v>https://www.bing.com/financeapi/forcetrigger?t=a1mou2&amp;q=XNAS%3aAAPL&amp;form=skydnc</v>
    <v>Learn more on Bing</v>
  </rv>
  <rv s="3">
    <v>en-US</v>
    <v>a1mou2</v>
    <v>268435456</v>
    <v>1</v>
    <v>Powered by Refinitiv</v>
    <v>0</v>
    <v>APPLE INC. (XNAS:AAPL)</v>
    <v>3</v>
    <v>4</v>
    <v>Finance</v>
    <v>5</v>
    <v>182.94</v>
    <v>116.21</v>
    <v>1.214</v>
    <v>2.0036</v>
    <v>1.2540000000000001E-2</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154000</v>
    <v>Nasdaq Stock Market</v>
    <v>XNAS</v>
    <v>XNAS</v>
    <v>1 Apple Park Way, CUPERTINO, CA, 95014-0642 US</v>
    <v>163.63</v>
    <v>12</v>
    <v>Computers, Phones &amp; Household Electronics</v>
    <v>Stock</v>
    <v>44587.659430705469</v>
    <v>13</v>
    <v>161.37</v>
    <v>2642633182332</v>
    <v>APPLE INC.</v>
    <v>APPLE INC.</v>
    <v>163.44999999999999</v>
    <v>28.495799999999999</v>
    <v>159.78</v>
    <v>161.78360000000001</v>
    <v>16334370000</v>
    <v>AAPL</v>
    <v>APPLE INC. (XNAS:AAPL)</v>
    <v>25605358</v>
    <v>91320044</v>
    <v>1977</v>
  </rv>
  <rv s="4">
    <v>14</v>
  </rv>
</rvData>
</file>

<file path=xl/richData/rdrichvaluestructure.xml><?xml version="1.0" encoding="utf-8"?>
<rvStructures xmlns="http://schemas.microsoft.com/office/spreadsheetml/2017/richdata" count="6">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0">
    <spb s="0">
      <v>0</v>
      <v>Name</v>
      <v>LearnMoreOnLink</v>
    </spb>
    <spb s="1">
      <v>0</v>
      <v>0</v>
    </spb>
    <spb s="2">
      <v>0</v>
      <v>0</v>
      <v>0</v>
    </spb>
    <spb s="3">
      <v>1</v>
      <v>2</v>
      <v>2</v>
      <v>2</v>
      <v>2</v>
    </spb>
    <spb s="4">
      <v>1</v>
      <v>2</v>
      <v>2</v>
      <v>1</v>
      <v>3</v>
      <v>1</v>
      <v>4</v>
      <v>1</v>
      <v>1</v>
      <v>5</v>
      <v>5</v>
      <v>6</v>
      <v>7</v>
      <v>1</v>
      <v>1</v>
      <v>1</v>
      <v>5</v>
      <v>8</v>
      <v>9</v>
      <v>10</v>
      <v>5</v>
    </spb>
    <spb s="5">
      <v>Real-Time Nasdaq Last Sale</v>
      <v>from previous close</v>
      <v>from previous close</v>
      <v>Source: Nasdaq Last Sale</v>
      <v>GMT</v>
    </spb>
    <spb s="6">
      <v>Powered by Refinitiv</v>
    </spb>
    <spb s="0">
      <v>1</v>
      <v>Name</v>
      <v>LearnMoreOnLink</v>
    </spb>
    <spb s="7">
      <v>2</v>
      <v>2</v>
      <v>2</v>
      <v>2</v>
    </spb>
    <spb s="8">
      <v>1</v>
      <v>2</v>
      <v>2</v>
      <v>1</v>
      <v>3</v>
      <v>1</v>
      <v>1</v>
      <v>1</v>
      <v>5</v>
      <v>5</v>
      <v>6</v>
      <v>7</v>
      <v>1</v>
      <v>1</v>
      <v>1</v>
      <v>5</v>
      <v>8</v>
      <v>9</v>
      <v>10</v>
      <v>5</v>
    </spb>
  </spbData>
</supportingPropertyBags>
</file>

<file path=xl/richData/rdsupportingpropertybagstructure.xml><?xml version="1.0" encoding="utf-8"?>
<spbStructures xmlns="http://schemas.microsoft.com/office/spreadsheetml/2017/richdata2" count="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165" formatCode="_([$$-409]* #,##0.00_);_([$$-409]* \(#,##0.00\);_([$$-409]* &quot;-&quot;??_);_(@_)"/>
    </x:dxf>
    <x:dxf>
      <x:numFmt numFmtId="27" formatCode="dd/mm/yy\ h:mm"/>
    </x:dxf>
    <x:dxf>
      <x:numFmt numFmtId="14" formatCode="0.00%"/>
    </x:dxf>
    <x:dxf>
      <x:numFmt numFmtId="3" formatCode="#,##0"/>
    </x:dxf>
    <x:dxf>
      <x:numFmt numFmtId="164" formatCode="_([$$-409]* #,##0_);_([$$-409]* \(#,##0\);_([$$-409]* &quot;-&quot;_);_(@_)"/>
    </x:dxf>
    <x:dxf>
      <x:numFmt numFmtId="4" formatCode="#,##0.00"/>
    </x:dxf>
    <x:dxf>
      <x:numFmt numFmtId="1" formatCode="0"/>
    </x:dxf>
  </dxfs>
  <richProperties>
    <rPr n="IsTitleField" t="b"/>
    <rPr n="IsHeroField" t="b"/>
  </richProperties>
  <richStyles>
    <rSty dxfid="1"/>
    <rSty dxfid="6"/>
    <rSty>
      <rpv i="0">1</rpv>
    </rSty>
    <rSty>
      <rpv i="1">1</rpv>
    </rSty>
    <rSty dxfid="4"/>
    <rSty dxfid="3"/>
    <rSty dxfid="5"/>
    <rSty dxfid="2"/>
    <rSty dxfid="7"/>
    <rSty dxfid="0"/>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1B07AA-1448-4C9C-B72F-A67D7605A5DB}" name="Ledger" displayName="Ledger" ref="B3:H7" totalsRowCount="1">
  <tableColumns count="7">
    <tableColumn id="1" xr3:uid="{412D4CBB-6F82-43FF-82D8-2F0CF0770CCC}" name="Date" totalsRowLabel="Total"/>
    <tableColumn id="2" xr3:uid="{8B7C2989-C129-4E94-9BCC-D7E9A3E50972}" name="Stock"/>
    <tableColumn id="3" xr3:uid="{11B09ABB-B3AB-4ADC-B148-78BCF7993CED}" name="Transaction"/>
    <tableColumn id="4" xr3:uid="{D9874702-4F0B-4F4B-8251-828D4EA92E0B}" name="Shares" totalsRowFunction="sum"/>
    <tableColumn id="5" xr3:uid="{55D16890-909B-4314-BE0C-172C20EC6C0C}" name="Share Price ($)" dataDxfId="15"/>
    <tableColumn id="6" xr3:uid="{1A506374-99DE-4203-A2E0-258ED6B382FC}" name="Currency" dataDxfId="14"/>
    <tableColumn id="7" xr3:uid="{B1CFE949-767E-4128-9AF9-972B04D431FE}" name="Transaction Amount" totalsRowFunction="sum" dataDxfId="13" totalsRowDxfId="12">
      <calculatedColumnFormula>F4*E4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3BC44F-617B-44BA-9A0C-8CA29926EDE8}" name="Liability" displayName="Liability" ref="B3:F7" totalsRowCount="1" headerRowDxfId="28">
  <tableColumns count="5">
    <tableColumn id="1" xr3:uid="{A320E279-A33C-46F9-AE86-7A3AC33D27A0}" name="Date" totalsRowLabel="Total" dataDxfId="27" dataCellStyle="40% - Accent1"/>
    <tableColumn id="2" xr3:uid="{7E26716E-636A-491B-9B99-3C6E17DA3CEE}" name="Liability" dataDxfId="26" dataCellStyle="40% - Accent1"/>
    <tableColumn id="3" xr3:uid="{8DAC0055-B98C-4B65-A112-91B1B9B48E55}" name="Category"/>
    <tableColumn id="4" xr3:uid="{31631E4F-DBB6-4F77-9712-82E736B8C3D6}" name="Amount" totalsRowFunction="sum" dataDxfId="25" totalsRowDxfId="24"/>
    <tableColumn id="5" xr3:uid="{039E801A-C507-423D-AF6E-DF0BA6F0EDE2}" name="Paid(Y/N)" dataDxfId="23"/>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D7B0A6-2BAD-471F-A877-93C7375FC71B}" name="Table4" displayName="Table4" ref="B3:G7" totalsRowCount="1">
  <autoFilter ref="B3:G6" xr:uid="{33D7B0A6-2BAD-471F-A877-93C7375FC71B}"/>
  <tableColumns count="6">
    <tableColumn id="1" xr3:uid="{CEB893B9-8990-46C8-829A-6DB1391F6C09}" name="Date" totalsRowLabel="Monthly Average" dataDxfId="22"/>
    <tableColumn id="2" xr3:uid="{3D0888CA-4FF0-4D5D-84DD-4895748B0C70}" name="Reccuring Expenses"/>
    <tableColumn id="3" xr3:uid="{DA0B9F89-3A65-4A87-8800-5DFC2FA401A3}" name="Category"/>
    <tableColumn id="4" xr3:uid="{304966E7-05B9-4F7D-B7B3-9C992A7F1B3D}" name="Frequency"/>
    <tableColumn id="5" xr3:uid="{72C752D7-18E6-4294-844D-AC83AB49FEDE}" name="Amount" totalsRowFunction="custom" dataDxfId="21" totalsRowDxfId="20">
      <totalsRowFormula>SUM(SUMIFS(Table4[Amount],Table4[Frequency],"Monthly"), (SUMIFS(Table4[Amount],Table4[Frequency],"Annually"))/12)</totalsRowFormula>
    </tableColumn>
    <tableColumn id="6" xr3:uid="{69A39983-8EE0-4239-B261-11EF056A438D}" name="Last Paid" dataDxfId="19"/>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0EF829A-4FC9-4B5E-8500-354169FE8C3D}" name="Table3" displayName="Table3" ref="S4:T17" totalsRowShown="0" dataDxfId="18">
  <autoFilter ref="S4:T17" xr:uid="{40EF829A-4FC9-4B5E-8500-354169FE8C3D}"/>
  <tableColumns count="2">
    <tableColumn id="1" xr3:uid="{48AC41B7-9184-487B-B33B-6C2BDEB06C76}" name="Category" dataDxfId="17">
      <calculatedColumnFormula array="1">IFERROR(_xlfn.UNIQUE(Liability[[#This Row],[Category]]),"")</calculatedColumnFormula>
    </tableColumn>
    <tableColumn id="2" xr3:uid="{D2ECF046-AEBC-41EB-853A-95A39D8CF70A}" name="Amount" dataDxfId="16">
      <calculatedColumnFormula>IF(SUMIF(Liability[Category],Table3[[#This Row],[Category]],Liability[Amount])=0,"",SUMIF(Liability[Category],Table3[[#This Row],[Category]],Liability[Amount]))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hyperlink" Target="https://www.cpf.gov.sg/member"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8" Type="http://schemas.openxmlformats.org/officeDocument/2006/relationships/hyperlink" Target="https://www.iras.gov.sg/taxes/individual-income-tax/basics-of-individual-income-tax/tax-reliefs-rebates-and-deductions/tax-reliefs/foreign-domestic-worker-levy-(fdwl)-relief" TargetMode="External"/><Relationship Id="rId13" Type="http://schemas.openxmlformats.org/officeDocument/2006/relationships/hyperlink" Target="https://www.iras.gov.sg/taxes/individual-income-tax/basics-of-individual-income-tax/tax-reliefs-rebates-and-deductions/tax-reliefs/working-mother's-child-relief-(wmcr)" TargetMode="External"/><Relationship Id="rId18" Type="http://schemas.openxmlformats.org/officeDocument/2006/relationships/hyperlink" Target="https://www.iras.gov.sg/taxes/individual-income-tax/self-employed-and-partnerships/tax-obligations-of-self-employed-persons/basic-guide-for-self-employed-persons" TargetMode="External"/><Relationship Id="rId3" Type="http://schemas.openxmlformats.org/officeDocument/2006/relationships/hyperlink" Target="https://www.iras.gov.sg/taxes/individual-income-tax/basics-of-individual-income-tax/tax-reliefs-rebates-and-deductions/tax-reliefs/grandparent-caregiver-relief" TargetMode="External"/><Relationship Id="rId21" Type="http://schemas.openxmlformats.org/officeDocument/2006/relationships/hyperlink" Target="https://www.iras.gov.sg/taxes/individual-income-tax/basics-of-individual-income-tax/what-is-taxable-what-is-not/income-from-property-rented-out" TargetMode="External"/><Relationship Id="rId7" Type="http://schemas.openxmlformats.org/officeDocument/2006/relationships/hyperlink" Target="https://www.iras.gov.sg/taxes/individual-income-tax/basics-of-individual-income-tax/tax-reliefs-rebates-and-deductions/tax-reliefs/course-fees-relief" TargetMode="External"/><Relationship Id="rId12" Type="http://schemas.openxmlformats.org/officeDocument/2006/relationships/hyperlink" Target="https://www.iras.gov.sg/taxes/individual-income-tax/basics-of-individual-income-tax/tax-reliefs-rebates-and-deductions/tax-reliefs/nsman-relief-(self-wife-and-parent)" TargetMode="External"/><Relationship Id="rId17" Type="http://schemas.openxmlformats.org/officeDocument/2006/relationships/hyperlink" Target="https://www.iras.gov.sg/taxes/individual-income-tax/basics-of-individual-income-tax/tax-reliefs-rebates-and-deductions/employment-expenses" TargetMode="External"/><Relationship Id="rId2" Type="http://schemas.openxmlformats.org/officeDocument/2006/relationships/hyperlink" Target="https://www.iras.gov.sg/taxes/individual-income-tax/basics-of-individual-income-tax/tax-reliefs-rebates-and-deductions/tax-reliefs/parent-relief-handicapped-parent-relief" TargetMode="External"/><Relationship Id="rId16" Type="http://schemas.openxmlformats.org/officeDocument/2006/relationships/hyperlink" Target="https://www.iras.gov.sg/taxes/individual-income-tax/basics-of-individual-income-tax/tax-reliefs-rebates-and-deductions/tax-reliefs/earned-income-relief" TargetMode="External"/><Relationship Id="rId20" Type="http://schemas.openxmlformats.org/officeDocument/2006/relationships/hyperlink" Target="https://www.iras.gov.sg/taxes/individual-income-tax/basics-of-individual-income-tax/what-is-taxable-what-is-not/interest" TargetMode="External"/><Relationship Id="rId1" Type="http://schemas.openxmlformats.org/officeDocument/2006/relationships/hyperlink" Target="https://www.iras.gov.sg/taxes/individual-income-tax/basics-of-individual-income-tax/tax-reliefs-rebates-and-deductions/employment-expenses" TargetMode="External"/><Relationship Id="rId6" Type="http://schemas.openxmlformats.org/officeDocument/2006/relationships/hyperlink" Target="https://www.iras.gov.sg/taxes/individual-income-tax/basics-of-individual-income-tax/tax-reliefs-rebates-and-deductions/tax-reliefs/life-insurance-relief" TargetMode="External"/><Relationship Id="rId11" Type="http://schemas.openxmlformats.org/officeDocument/2006/relationships/hyperlink" Target="https://www.iras.gov.sg/taxes/individual-income-tax/basics-of-individual-income-tax/tax-reliefs-rebates-and-deductions/tax-reliefs/nsman-relief-(self-wife-and-parent)" TargetMode="External"/><Relationship Id="rId24" Type="http://schemas.openxmlformats.org/officeDocument/2006/relationships/hyperlink" Target="https://www.iras.gov.sg/taxes/other-taxes/charities/donations-tax-deductions" TargetMode="External"/><Relationship Id="rId5" Type="http://schemas.openxmlformats.org/officeDocument/2006/relationships/hyperlink" Target="https://www.iras.gov.sg/taxes/individual-income-tax/basics-of-individual-income-tax/tax-reliefs-rebates-and-deductions/tax-reliefs/central-provident-fund(cpf)-relief-for-employees" TargetMode="External"/><Relationship Id="rId15" Type="http://schemas.openxmlformats.org/officeDocument/2006/relationships/hyperlink" Target="https://www.iras.gov.sg/taxes/individual-income-tax/basics-of-individual-income-tax/tax-reliefs-rebates-and-deductions/tax-reliefs/spouse-relief-handicapped-spouse-relief" TargetMode="External"/><Relationship Id="rId23" Type="http://schemas.openxmlformats.org/officeDocument/2006/relationships/hyperlink" Target="https://www.iras.gov.sg/taxes/individual-income-tax/basics-of-individual-income-tax/what-is-taxable-what-is-not/income-from-property-rented-out" TargetMode="External"/><Relationship Id="rId10" Type="http://schemas.openxmlformats.org/officeDocument/2006/relationships/hyperlink" Target="https://www.iras.gov.sg/taxes/individual-income-tax/basics-of-individual-income-tax/special-tax-schemes/srs-contributions" TargetMode="External"/><Relationship Id="rId19" Type="http://schemas.openxmlformats.org/officeDocument/2006/relationships/hyperlink" Target="https://www.iras.gov.sg/taxes/individual-income-tax/basics-of-individual-income-tax/what-is-taxable-what-is-not/dividends" TargetMode="External"/><Relationship Id="rId4" Type="http://schemas.openxmlformats.org/officeDocument/2006/relationships/hyperlink" Target="https://www.iras.gov.sg/taxes/individual-income-tax/basics-of-individual-income-tax/tax-reliefs-rebates-and-deductions/tax-reliefs/handicapped-brother-sister-relief" TargetMode="External"/><Relationship Id="rId9" Type="http://schemas.openxmlformats.org/officeDocument/2006/relationships/hyperlink" Target="https://www.iras.gov.sg/taxes/individual-income-tax/basics-of-individual-income-tax/tax-reliefs-rebates-and-deductions/tax-reliefs/central-provident-fund-(cpf)-cash-top-up-relief" TargetMode="External"/><Relationship Id="rId14" Type="http://schemas.openxmlformats.org/officeDocument/2006/relationships/hyperlink" Target="https://www.iras.gov.sg/taxes/individual-income-tax/basics-of-individual-income-tax/tax-reliefs-rebates-and-deductions/tax-reliefs/qualifying-child-relief-(qcr)-handicapped-child-relief-(hcr)" TargetMode="External"/><Relationship Id="rId22" Type="http://schemas.openxmlformats.org/officeDocument/2006/relationships/hyperlink" Target="https://www.iras.gov.sg/taxes/individual-income-tax/basics-of-individual-income-tax/what-is-taxable-what-is-not/income-from-property-rented-ou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C72F9-FF2D-478B-93C3-85BD83F85BFD}">
  <sheetPr codeName="Sheet13">
    <tabColor rgb="FF000000"/>
  </sheetPr>
  <dimension ref="A2:O85"/>
  <sheetViews>
    <sheetView showGridLines="0" tabSelected="1" zoomScale="77" zoomScaleNormal="77" workbookViewId="0">
      <selection activeCell="I84" sqref="I84"/>
    </sheetView>
  </sheetViews>
  <sheetFormatPr defaultRowHeight="15"/>
  <cols>
    <col min="1" max="1" width="4.5703125" customWidth="1"/>
    <col min="2" max="2" width="41.5703125" customWidth="1"/>
    <col min="3" max="3" width="19.5703125" customWidth="1"/>
    <col min="4" max="4" width="14.42578125" customWidth="1"/>
    <col min="5" max="5" width="17.5703125" customWidth="1"/>
    <col min="6" max="6" width="16.42578125" customWidth="1"/>
    <col min="7" max="7" width="12.5703125" customWidth="1"/>
    <col min="8" max="8" width="10.5703125" customWidth="1"/>
    <col min="9" max="9" width="13.5703125" customWidth="1"/>
    <col min="14" max="15" width="9.5703125" bestFit="1" customWidth="1"/>
  </cols>
  <sheetData>
    <row r="2" spans="1:15">
      <c r="N2" s="141" t="s">
        <v>0</v>
      </c>
      <c r="O2" s="141">
        <f ca="1">TODAY()</f>
        <v>44587</v>
      </c>
    </row>
    <row r="3" spans="1:15">
      <c r="A3" s="140">
        <v>2</v>
      </c>
      <c r="C3">
        <v>27</v>
      </c>
    </row>
    <row r="6" spans="1:15" ht="30.75" customHeight="1">
      <c r="C6" s="157" t="s">
        <v>1</v>
      </c>
      <c r="F6" s="107">
        <v>21</v>
      </c>
    </row>
    <row r="7" spans="1:15">
      <c r="C7" s="140"/>
    </row>
    <row r="11" spans="1:15">
      <c r="A11" s="140">
        <v>0</v>
      </c>
    </row>
    <row r="12" spans="1:15" ht="20.25" customHeight="1" thickBot="1">
      <c r="B12" s="108" t="s">
        <v>2</v>
      </c>
      <c r="C12" s="109"/>
      <c r="D12" s="108" t="s">
        <v>3</v>
      </c>
      <c r="E12" s="109"/>
    </row>
    <row r="13" spans="1:15" ht="15.75" thickTop="1">
      <c r="B13" s="160">
        <v>2</v>
      </c>
      <c r="D13" s="160">
        <v>1</v>
      </c>
    </row>
    <row r="14" spans="1:15">
      <c r="B14" s="160"/>
      <c r="D14" s="160"/>
    </row>
    <row r="15" spans="1:15">
      <c r="C15" s="68"/>
      <c r="E15" s="68"/>
    </row>
    <row r="16" spans="1:15" ht="16.5" thickBot="1">
      <c r="B16" s="108" t="s">
        <v>4</v>
      </c>
      <c r="C16" s="108"/>
      <c r="D16" s="108" t="s">
        <v>5</v>
      </c>
      <c r="E16" s="108"/>
    </row>
    <row r="17" spans="2:5" ht="15.75" thickTop="1">
      <c r="B17" s="159">
        <v>0</v>
      </c>
      <c r="D17" s="159">
        <v>0</v>
      </c>
      <c r="E17" s="68"/>
    </row>
    <row r="18" spans="2:5">
      <c r="B18" s="159"/>
      <c r="D18" s="159"/>
      <c r="E18" s="68"/>
    </row>
    <row r="20" spans="2:5" ht="16.5" thickBot="1">
      <c r="B20" s="108" t="s">
        <v>6</v>
      </c>
      <c r="C20" s="108"/>
      <c r="D20" s="108" t="s">
        <v>7</v>
      </c>
      <c r="E20" s="108"/>
    </row>
    <row r="21" spans="2:5" ht="15.75" thickTop="1">
      <c r="B21" s="159">
        <v>0</v>
      </c>
      <c r="C21" s="68"/>
      <c r="D21" s="159">
        <f>B21-B25</f>
        <v>0</v>
      </c>
      <c r="E21" s="68"/>
    </row>
    <row r="22" spans="2:5">
      <c r="B22" s="159"/>
      <c r="C22" s="68"/>
      <c r="D22" s="159"/>
      <c r="E22" s="68"/>
    </row>
    <row r="24" spans="2:5" ht="16.5" thickBot="1">
      <c r="B24" s="108" t="s">
        <v>8</v>
      </c>
      <c r="C24" s="108"/>
      <c r="D24" s="108" t="s">
        <v>9</v>
      </c>
      <c r="E24" s="108"/>
    </row>
    <row r="25" spans="2:5" ht="15.75" thickTop="1">
      <c r="B25" s="159">
        <v>0</v>
      </c>
      <c r="D25" s="159">
        <v>0</v>
      </c>
      <c r="E25" s="68"/>
    </row>
    <row r="26" spans="2:5">
      <c r="B26" s="159"/>
      <c r="D26" s="159"/>
      <c r="E26" s="68"/>
    </row>
    <row r="27" spans="2:5">
      <c r="B27" s="145"/>
      <c r="D27" s="145"/>
      <c r="E27" s="68"/>
    </row>
    <row r="28" spans="2:5">
      <c r="D28" s="145"/>
      <c r="E28" s="68"/>
    </row>
    <row r="34" spans="2:9" ht="16.5" thickBot="1">
      <c r="B34" s="139" t="s">
        <v>2</v>
      </c>
      <c r="E34" t="s">
        <v>10</v>
      </c>
    </row>
    <row r="35" spans="2:9" ht="15.75" thickBot="1">
      <c r="B35" s="161">
        <v>1</v>
      </c>
      <c r="E35" s="161">
        <v>3500</v>
      </c>
      <c r="H35" s="50" t="s">
        <v>11</v>
      </c>
    </row>
    <row r="36" spans="2:9" ht="15.75" thickBot="1">
      <c r="B36" s="162"/>
      <c r="E36" s="162"/>
      <c r="H36" s="52">
        <f>Table4[[#Totals],[Amount]]</f>
        <v>1038.6666666666667</v>
      </c>
    </row>
    <row r="45" spans="2:9" ht="16.5">
      <c r="B45" s="110" t="s">
        <v>12</v>
      </c>
    </row>
    <row r="47" spans="2:9" ht="17.25" thickBot="1">
      <c r="B47" s="111" t="s">
        <v>13</v>
      </c>
      <c r="C47" s="111" t="s">
        <v>14</v>
      </c>
      <c r="D47" s="111" t="s">
        <v>15</v>
      </c>
      <c r="E47" s="111" t="s">
        <v>16</v>
      </c>
      <c r="F47" s="111" t="s">
        <v>17</v>
      </c>
      <c r="G47" s="112" t="s">
        <v>18</v>
      </c>
      <c r="H47" s="113"/>
      <c r="I47" s="111" t="s">
        <v>19</v>
      </c>
    </row>
    <row r="48" spans="2:9" ht="15.75" thickTop="1">
      <c r="B48" t="e" cm="1" vm="1">
        <f t="array" ref="B48:B49">_xlfn._xlws.SORT(_xlfn.UNIQUE(_xlfn._xlws.FILTER(Ledger[Stock],SUMIF(Ledger[Stock],Ledger[Stock],Ledger[Shares])&gt;0)))</f>
        <v>#VALUE!</v>
      </c>
      <c r="C48" t="str" cm="1">
        <f t="array" ref="C48:C49">_FV(_xlfn.ANCHORARRAY(B48),"Industry")</f>
        <v>Banking Services</v>
      </c>
      <c r="D48" cm="1">
        <f t="array" ref="D48:D49">SUMIF(Ledger[Stock],_xlfn.ANCHORARRAY(B48),Ledger[Shares])</f>
        <v>100</v>
      </c>
      <c r="E48" s="52" cm="1">
        <f t="array" ref="E48:E49">_FV(_xlfn.ANCHORARRAY(B48),"Price")</f>
        <v>148.97999999999999</v>
      </c>
      <c r="F48" s="52" cm="1">
        <f t="array" ref="F48:F49">_xlfn.ANCHORARRAY(D48)*_xlfn.ANCHORARRAY(E48)</f>
        <v>14897.999999999998</v>
      </c>
      <c r="G48" s="52" cm="1">
        <f t="array" ref="G48:G49">(_xlfn.ANCHORARRAY(E48)-_FV(_xlfn.ANCHORARRAY(B48),"Previous close",TRUE))*_xlfn.ANCHORARRAY(D48)</f>
        <v>244.99999999999886</v>
      </c>
      <c r="H48" s="60" cm="1">
        <f t="array" ref="H48:H49">_xlfn.ANCHORARRAY(G48)/(_xlfn.ANCHORARRAY(F48)-_xlfn.ANCHORARRAY(G48))</f>
        <v>1.6720125571555236E-2</v>
      </c>
      <c r="I48" s="52" cm="1">
        <f t="array" ref="I48:I49">-SUMIF(Ledger[Stock],_xlfn.ANCHORARRAY(B48),Ledger[Transaction Amount])+_xlfn.ANCHORARRAY(F48)</f>
        <v>2197.9999999999982</v>
      </c>
    </row>
    <row r="49" spans="2:9">
      <c r="B49" t="e" vm="2">
        <v>#VALUE!</v>
      </c>
      <c r="C49" t="str">
        <v>Automobiles &amp; Auto Parts</v>
      </c>
      <c r="D49">
        <v>10</v>
      </c>
      <c r="E49" s="52">
        <v>943</v>
      </c>
      <c r="F49" s="52">
        <v>9430</v>
      </c>
      <c r="G49" s="52">
        <v>246.00000000000023</v>
      </c>
      <c r="H49" s="60">
        <v>2.6785714285714312E-2</v>
      </c>
      <c r="I49" s="52">
        <v>-1260</v>
      </c>
    </row>
    <row r="50" spans="2:9">
      <c r="E50" s="52"/>
      <c r="F50" s="52"/>
      <c r="G50" s="52"/>
      <c r="H50" s="60"/>
      <c r="I50" s="52"/>
    </row>
    <row r="51" spans="2:9">
      <c r="E51" s="52"/>
      <c r="F51" s="52"/>
      <c r="G51" s="52"/>
      <c r="H51" s="60"/>
      <c r="I51" s="52"/>
    </row>
    <row r="52" spans="2:9">
      <c r="E52" s="52"/>
      <c r="F52" s="52"/>
      <c r="G52" s="52"/>
      <c r="H52" s="60"/>
      <c r="I52" s="52"/>
    </row>
    <row r="53" spans="2:9">
      <c r="E53" s="52"/>
      <c r="F53" s="52"/>
      <c r="G53" s="52"/>
      <c r="H53" s="60"/>
      <c r="I53" s="52"/>
    </row>
    <row r="56" spans="2:9" ht="16.5">
      <c r="B56" s="110" t="s">
        <v>20</v>
      </c>
      <c r="E56" s="110"/>
      <c r="F56" s="110" t="s">
        <v>21</v>
      </c>
    </row>
    <row r="58" spans="2:9" ht="17.25" thickBot="1">
      <c r="B58" s="111" t="s">
        <v>14</v>
      </c>
      <c r="C58" s="111" t="s">
        <v>15</v>
      </c>
      <c r="D58" s="111" t="s">
        <v>17</v>
      </c>
      <c r="F58" s="111" t="s">
        <v>22</v>
      </c>
    </row>
    <row r="59" spans="2:9" ht="15.75" thickTop="1">
      <c r="B59" t="str" cm="1">
        <f t="array" ref="B59:B60">_xlfn.UNIQUE(_xlfn.ANCHORARRAY(C48))</f>
        <v>Banking Services</v>
      </c>
      <c r="C59" s="114" cm="1">
        <f t="array" ref="C59:C60">SUMIF(_xlfn.ANCHORARRAY($C$48),_xlfn.ANCHORARRAY($B$59),_xlfn.ANCHORARRAY($D$48))</f>
        <v>100</v>
      </c>
      <c r="D59" s="52" cm="1">
        <f t="array" ref="D59:D60">SUMIF(_xlfn.ANCHORARRAY($C$48),_xlfn.ANCHORARRAY($B$59),_xlfn.ANCHORARRAY($F$48))</f>
        <v>14897.999999999998</v>
      </c>
      <c r="E59" s="52"/>
      <c r="F59" s="52">
        <f>SUM(_xlfn.ANCHORARRAY(I48))</f>
        <v>937.99999999999818</v>
      </c>
    </row>
    <row r="60" spans="2:9">
      <c r="B60" t="str">
        <v>Automobiles &amp; Auto Parts</v>
      </c>
      <c r="C60" s="114">
        <v>10</v>
      </c>
      <c r="D60" s="52">
        <v>9430</v>
      </c>
    </row>
    <row r="61" spans="2:9">
      <c r="C61" s="114"/>
      <c r="D61" s="52"/>
    </row>
    <row r="62" spans="2:9">
      <c r="C62" s="114"/>
      <c r="D62" s="52"/>
    </row>
    <row r="63" spans="2:9">
      <c r="C63" s="114"/>
      <c r="D63" s="52"/>
    </row>
    <row r="72" spans="2:6" ht="17.25" thickBot="1">
      <c r="B72" s="111" t="s">
        <v>23</v>
      </c>
      <c r="C72" s="111" t="s">
        <v>24</v>
      </c>
      <c r="D72" s="111" t="s">
        <v>25</v>
      </c>
      <c r="F72" s="111" t="s">
        <v>26</v>
      </c>
    </row>
    <row r="73" spans="2:6" ht="15.75" thickTop="1">
      <c r="B73" t="str" cm="1">
        <f t="array" ref="B73:B74">_xlfn.UNIQUE(_xlfn._xlws.FILTER(Liability[Liability], Liability[Paid(Y/N)]="N"))</f>
        <v>Disney+ Subscription (January)</v>
      </c>
      <c r="C73" t="str" cm="1">
        <f t="array" ref="C73:C74">IF(_xlfn.ANCHORARRAY(B73)=_xlfn._xlws.FILTER(Liability[Liability], Liability[Paid(Y/N)]="N"),_xlfn._xlws.FILTER(Liability[Category], Liability[Paid(Y/N)]="N"),"")</f>
        <v>Subscription</v>
      </c>
      <c r="D73" s="52" cm="1">
        <f t="array" ref="D73:D74">SUMIF(Liability[Liability],_xlfn.ANCHORARRAY(B73),Liability[Amount])</f>
        <v>12</v>
      </c>
      <c r="F73" s="52">
        <f>SUM(_xlfn.ANCHORARRAY(D73))</f>
        <v>312</v>
      </c>
    </row>
    <row r="74" spans="2:6">
      <c r="B74" t="str">
        <v>Purchased Headphones (WH-1000XM4)</v>
      </c>
      <c r="C74" t="str">
        <v>One-Time Payment</v>
      </c>
      <c r="D74" s="52">
        <v>300</v>
      </c>
    </row>
    <row r="75" spans="2:6">
      <c r="D75" s="52"/>
    </row>
    <row r="76" spans="2:6">
      <c r="D76" s="52"/>
    </row>
    <row r="77" spans="2:6">
      <c r="D77" s="52"/>
    </row>
    <row r="78" spans="2:6">
      <c r="D78" s="52"/>
    </row>
    <row r="79" spans="2:6">
      <c r="D79" s="52"/>
    </row>
    <row r="80" spans="2:6">
      <c r="D80" s="52"/>
    </row>
    <row r="81" spans="2:5">
      <c r="B81" s="140" t="s">
        <v>27</v>
      </c>
    </row>
    <row r="83" spans="2:5" ht="15.75">
      <c r="B83" s="139"/>
    </row>
    <row r="84" spans="2:5">
      <c r="B84" s="158"/>
      <c r="E84" s="158"/>
    </row>
    <row r="85" spans="2:5">
      <c r="B85" s="158"/>
      <c r="E85" s="158"/>
    </row>
  </sheetData>
  <mergeCells count="12">
    <mergeCell ref="E84:E85"/>
    <mergeCell ref="B84:B85"/>
    <mergeCell ref="B25:B26"/>
    <mergeCell ref="D25:D26"/>
    <mergeCell ref="B13:B14"/>
    <mergeCell ref="D13:D14"/>
    <mergeCell ref="B17:B18"/>
    <mergeCell ref="D17:D18"/>
    <mergeCell ref="B21:B22"/>
    <mergeCell ref="D21:D22"/>
    <mergeCell ref="B35:B36"/>
    <mergeCell ref="E35:E36"/>
  </mergeCells>
  <conditionalFormatting sqref="I48:I53">
    <cfRule type="cellIs" dxfId="11" priority="6" operator="lessThan">
      <formula>0</formula>
    </cfRule>
    <cfRule type="cellIs" dxfId="10" priority="7" operator="greaterThan">
      <formula>0</formula>
    </cfRule>
  </conditionalFormatting>
  <conditionalFormatting sqref="E59">
    <cfRule type="cellIs" dxfId="9" priority="4" operator="lessThan">
      <formula>0</formula>
    </cfRule>
    <cfRule type="cellIs" dxfId="8" priority="5" operator="greaterThan">
      <formula>0</formula>
    </cfRule>
  </conditionalFormatting>
  <conditionalFormatting sqref="F59">
    <cfRule type="cellIs" dxfId="7" priority="2" operator="lessThan">
      <formula>0</formula>
    </cfRule>
    <cfRule type="cellIs" dxfId="6" priority="3" operator="greaterThan">
      <formula>0</formula>
    </cfRule>
  </conditionalFormatting>
  <conditionalFormatting sqref="F73">
    <cfRule type="cellIs" dxfId="5" priority="1" operator="greaterThan">
      <formula>0</formula>
    </cfRule>
  </conditionalFormatting>
  <dataValidations count="9">
    <dataValidation type="whole" allowBlank="1" showInputMessage="1" showErrorMessage="1" sqref="C3" xr:uid="{B67D64D8-E28F-484C-BE67-7D0C59F8F67E}">
      <formula1>1</formula1>
      <formula2>28</formula2>
    </dataValidation>
    <dataValidation type="decimal" operator="greaterThanOrEqual" allowBlank="1" showInputMessage="1" showErrorMessage="1" sqref="D17 D25 B21:B22 D21 B27" xr:uid="{341FF9E5-4CBB-416F-BC66-F9C92E312B2F}">
      <formula1>0</formula1>
    </dataValidation>
    <dataValidation type="whole" allowBlank="1" showInputMessage="1" showErrorMessage="1" sqref="D84 D35" xr:uid="{05A00340-E9C8-4C36-8EEB-E56BD533D16C}">
      <formula1>1</formula1>
      <formula2>31</formula2>
    </dataValidation>
    <dataValidation type="whole" operator="greaterThan" allowBlank="1" showInputMessage="1" showErrorMessage="1" sqref="E84:E85 E35:E36" xr:uid="{19BB786A-24FE-4061-83B6-5299F69CC56B}">
      <formula1>0</formula1>
    </dataValidation>
    <dataValidation operator="greaterThan" allowBlank="1" showInputMessage="1" showErrorMessage="1" sqref="H35:H36" xr:uid="{D8903124-2D23-434A-9564-8EFAB8919E46}"/>
    <dataValidation type="decimal" operator="greaterThanOrEqual" allowBlank="1" showInputMessage="1" showErrorMessage="1" errorTitle="Invalid allowance" error="Allowance must be at least $0." sqref="B17:B18" xr:uid="{539E3DA0-B993-4115-A039-7104675B414E}">
      <formula1>0</formula1>
    </dataValidation>
    <dataValidation type="decimal" operator="greaterThanOrEqual" allowBlank="1" showInputMessage="1" showErrorMessage="1" errorTitle="Invalid amount spent" error="Amount spent must be at least $0." sqref="B25:B26" xr:uid="{DF0C4102-6443-47BF-BB4F-57B7AFAAF764}">
      <formula1>0</formula1>
    </dataValidation>
    <dataValidation type="whole" allowBlank="1" showInputMessage="1" showErrorMessage="1" errorTitle="Invalid month" error="Month must be at least 1 and cannot exceed 12" sqref="B13:B14" xr:uid="{9EA22699-956E-48BA-9112-851CA5EA9C13}">
      <formula1>1</formula1>
      <formula2>28</formula2>
    </dataValidation>
    <dataValidation type="whole" allowBlank="1" showInputMessage="1" showErrorMessage="1" errorTitle="Invalid day" error="Day must be at least 1 and cannot exceed 28" sqref="D13:D14" xr:uid="{AB859C70-9F78-4884-981C-32936339AB01}">
      <formula1>1</formula1>
      <formula2>28</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onthUp_Click">
                <anchor moveWithCells="1">
                  <from>
                    <xdr:col>2</xdr:col>
                    <xdr:colOff>704850</xdr:colOff>
                    <xdr:row>12</xdr:row>
                    <xdr:rowOff>19050</xdr:rowOff>
                  </from>
                  <to>
                    <xdr:col>3</xdr:col>
                    <xdr:colOff>0</xdr:colOff>
                    <xdr:row>14</xdr:row>
                    <xdr:rowOff>0</xdr:rowOff>
                  </to>
                </anchor>
              </controlPr>
            </control>
          </mc:Choice>
        </mc:AlternateContent>
        <mc:AlternateContent xmlns:mc="http://schemas.openxmlformats.org/markup-compatibility/2006">
          <mc:Choice Requires="x14">
            <control shapeId="9220" r:id="rId5" name="Button 4">
              <controlPr defaultSize="0" print="0" autoFill="0" autoPict="0" macro="[0]!MonthDown_Click">
                <anchor moveWithCells="1">
                  <from>
                    <xdr:col>2</xdr:col>
                    <xdr:colOff>0</xdr:colOff>
                    <xdr:row>12</xdr:row>
                    <xdr:rowOff>19050</xdr:rowOff>
                  </from>
                  <to>
                    <xdr:col>2</xdr:col>
                    <xdr:colOff>704850</xdr:colOff>
                    <xdr:row>14</xdr:row>
                    <xdr:rowOff>0</xdr:rowOff>
                  </to>
                </anchor>
              </controlPr>
            </control>
          </mc:Choice>
        </mc:AlternateContent>
        <mc:AlternateContent xmlns:mc="http://schemas.openxmlformats.org/markup-compatibility/2006">
          <mc:Choice Requires="x14">
            <control shapeId="9223" r:id="rId6" name="Button 7">
              <controlPr defaultSize="0" print="0" autoFill="0" autoPict="0" macro="[0]!DayUp_Click">
                <anchor moveWithCells="1">
                  <from>
                    <xdr:col>4</xdr:col>
                    <xdr:colOff>628650</xdr:colOff>
                    <xdr:row>12</xdr:row>
                    <xdr:rowOff>19050</xdr:rowOff>
                  </from>
                  <to>
                    <xdr:col>5</xdr:col>
                    <xdr:colOff>9525</xdr:colOff>
                    <xdr:row>13</xdr:row>
                    <xdr:rowOff>171450</xdr:rowOff>
                  </to>
                </anchor>
              </controlPr>
            </control>
          </mc:Choice>
        </mc:AlternateContent>
        <mc:AlternateContent xmlns:mc="http://schemas.openxmlformats.org/markup-compatibility/2006">
          <mc:Choice Requires="x14">
            <control shapeId="9224" r:id="rId7" name="Button 8">
              <controlPr defaultSize="0" print="0" autoFill="0" autoPict="0" macro="[0]!DayDown_Click">
                <anchor moveWithCells="1">
                  <from>
                    <xdr:col>4</xdr:col>
                    <xdr:colOff>19050</xdr:colOff>
                    <xdr:row>12</xdr:row>
                    <xdr:rowOff>19050</xdr:rowOff>
                  </from>
                  <to>
                    <xdr:col>4</xdr:col>
                    <xdr:colOff>628650</xdr:colOff>
                    <xdr:row>13</xdr:row>
                    <xdr:rowOff>171450</xdr:rowOff>
                  </to>
                </anchor>
              </controlPr>
            </control>
          </mc:Choice>
        </mc:AlternateContent>
        <mc:AlternateContent xmlns:mc="http://schemas.openxmlformats.org/markup-compatibility/2006">
          <mc:Choice Requires="x14">
            <control shapeId="9225" r:id="rId8" name="Button 9">
              <controlPr defaultSize="0" print="0" autoFill="0" autoPict="0" macro="[0]!SetAllowance_Click">
                <anchor moveWithCells="1">
                  <from>
                    <xdr:col>2</xdr:col>
                    <xdr:colOff>19050</xdr:colOff>
                    <xdr:row>16</xdr:row>
                    <xdr:rowOff>19050</xdr:rowOff>
                  </from>
                  <to>
                    <xdr:col>3</xdr:col>
                    <xdr:colOff>0</xdr:colOff>
                    <xdr:row>18</xdr:row>
                    <xdr:rowOff>0</xdr:rowOff>
                  </to>
                </anchor>
              </controlPr>
            </control>
          </mc:Choice>
        </mc:AlternateContent>
        <mc:AlternateContent xmlns:mc="http://schemas.openxmlformats.org/markup-compatibility/2006">
          <mc:Choice Requires="x14">
            <control shapeId="9226" r:id="rId9" name="Button 10">
              <controlPr defaultSize="0" print="0" autoFill="0" autoPict="0" macro="[0]!SetSavings_Click">
                <anchor moveWithCells="1">
                  <from>
                    <xdr:col>1</xdr:col>
                    <xdr:colOff>2914650</xdr:colOff>
                    <xdr:row>24</xdr:row>
                    <xdr:rowOff>19050</xdr:rowOff>
                  </from>
                  <to>
                    <xdr:col>3</xdr:col>
                    <xdr:colOff>0</xdr:colOff>
                    <xdr:row>26</xdr:row>
                    <xdr:rowOff>0</xdr:rowOff>
                  </to>
                </anchor>
              </controlPr>
            </control>
          </mc:Choice>
        </mc:AlternateContent>
        <mc:AlternateContent xmlns:mc="http://schemas.openxmlformats.org/markup-compatibility/2006">
          <mc:Choice Requires="x14">
            <control shapeId="9235" r:id="rId10" name="Button 19">
              <controlPr defaultSize="0" print="0" autoFill="0" autoPict="0" macro="[0]!SalMthUp">
                <anchor moveWithCells="1">
                  <from>
                    <xdr:col>2</xdr:col>
                    <xdr:colOff>0</xdr:colOff>
                    <xdr:row>34</xdr:row>
                    <xdr:rowOff>0</xdr:rowOff>
                  </from>
                  <to>
                    <xdr:col>2</xdr:col>
                    <xdr:colOff>704850</xdr:colOff>
                    <xdr:row>35</xdr:row>
                    <xdr:rowOff>180975</xdr:rowOff>
                  </to>
                </anchor>
              </controlPr>
            </control>
          </mc:Choice>
        </mc:AlternateContent>
        <mc:AlternateContent xmlns:mc="http://schemas.openxmlformats.org/markup-compatibility/2006">
          <mc:Choice Requires="x14">
            <control shapeId="9236" r:id="rId11" name="Button 20">
              <controlPr defaultSize="0" print="0" autoFill="0" autoPict="0" macro="[0]!SalMthDown">
                <anchor moveWithCells="1">
                  <from>
                    <xdr:col>2</xdr:col>
                    <xdr:colOff>714375</xdr:colOff>
                    <xdr:row>34</xdr:row>
                    <xdr:rowOff>0</xdr:rowOff>
                  </from>
                  <to>
                    <xdr:col>3</xdr:col>
                    <xdr:colOff>85725</xdr:colOff>
                    <xdr:row>35</xdr:row>
                    <xdr:rowOff>180975</xdr:rowOff>
                  </to>
                </anchor>
              </controlPr>
            </control>
          </mc:Choice>
        </mc:AlternateContent>
        <mc:AlternateContent xmlns:mc="http://schemas.openxmlformats.org/markup-compatibility/2006">
          <mc:Choice Requires="x14">
            <control shapeId="9237" r:id="rId12" name="Button 21">
              <controlPr defaultSize="0" print="0" autoFill="0" autoPict="0" macro="[0]!dashSubmit">
                <anchor moveWithCells="1">
                  <from>
                    <xdr:col>5</xdr:col>
                    <xdr:colOff>66675</xdr:colOff>
                    <xdr:row>34</xdr:row>
                    <xdr:rowOff>0</xdr:rowOff>
                  </from>
                  <to>
                    <xdr:col>5</xdr:col>
                    <xdr:colOff>790575</xdr:colOff>
                    <xdr:row>35</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8" id="{CA093BF3-C35D-451B-A924-427031896703}">
            <x14:iconSet iconSet="3Triangles">
              <x14:cfvo type="percent">
                <xm:f>0</xm:f>
              </x14:cfvo>
              <x14:cfvo type="num">
                <xm:f>0</xm:f>
              </x14:cfvo>
              <x14:cfvo type="num" gte="0">
                <xm:f>0</xm:f>
              </x14:cfvo>
            </x14:iconSet>
          </x14:cfRule>
          <xm:sqref>H48:H53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8296-C725-4B9B-97A9-07BA31B67BB8}">
  <sheetPr codeName="Sheet9">
    <tabColor rgb="FF0070C0"/>
  </sheetPr>
  <dimension ref="B1:U32"/>
  <sheetViews>
    <sheetView showGridLines="0" workbookViewId="0">
      <selection activeCell="B7" sqref="B7:B10"/>
    </sheetView>
  </sheetViews>
  <sheetFormatPr defaultColWidth="9.42578125" defaultRowHeight="15"/>
  <cols>
    <col min="1" max="1" width="3.42578125" customWidth="1"/>
    <col min="2" max="2" width="13.5703125" customWidth="1"/>
    <col min="3" max="3" width="43.42578125" customWidth="1"/>
    <col min="4" max="4" width="13.42578125" customWidth="1"/>
    <col min="5" max="5" width="10.42578125" customWidth="1"/>
    <col min="6" max="6" width="15.42578125" customWidth="1"/>
    <col min="7" max="7" width="10.5703125" customWidth="1"/>
    <col min="8" max="8" width="21" customWidth="1"/>
    <col min="9" max="9" width="5.42578125" customWidth="1"/>
    <col min="10" max="10" width="3.42578125" customWidth="1"/>
    <col min="11" max="11" width="0.28515625" customWidth="1"/>
  </cols>
  <sheetData>
    <row r="1" spans="2:21" ht="18.75" customHeight="1">
      <c r="J1" s="140" t="s">
        <v>28</v>
      </c>
    </row>
    <row r="2" spans="2:21" ht="51.75" customHeight="1">
      <c r="J2" s="140" t="s">
        <v>29</v>
      </c>
      <c r="L2" s="71" t="s">
        <v>30</v>
      </c>
    </row>
    <row r="3" spans="2:21">
      <c r="B3" t="s">
        <v>31</v>
      </c>
      <c r="C3" t="s">
        <v>13</v>
      </c>
      <c r="D3" t="s">
        <v>32</v>
      </c>
      <c r="E3" t="s">
        <v>15</v>
      </c>
      <c r="F3" t="s">
        <v>33</v>
      </c>
      <c r="G3" t="s">
        <v>34</v>
      </c>
      <c r="H3" t="s">
        <v>35</v>
      </c>
      <c r="J3" s="140" t="s">
        <v>36</v>
      </c>
      <c r="K3" s="72" t="s">
        <v>37</v>
      </c>
      <c r="L3" s="72"/>
      <c r="M3" s="72"/>
      <c r="N3" s="72"/>
    </row>
    <row r="4" spans="2:21">
      <c r="B4" s="7">
        <v>44571</v>
      </c>
      <c r="C4" t="e" vm="2">
        <v>#VALUE!</v>
      </c>
      <c r="D4" t="s">
        <v>28</v>
      </c>
      <c r="E4">
        <v>10</v>
      </c>
      <c r="F4" s="52">
        <v>1069</v>
      </c>
      <c r="G4" s="48" t="s">
        <v>38</v>
      </c>
      <c r="H4" s="47">
        <f t="shared" ref="H4:H6" si="0">F4*E4</f>
        <v>10690</v>
      </c>
      <c r="I4" s="47"/>
      <c r="K4" s="72" t="s">
        <v>39</v>
      </c>
      <c r="L4" s="72"/>
      <c r="M4" s="72"/>
      <c r="N4" s="72"/>
      <c r="T4" s="69"/>
    </row>
    <row r="5" spans="2:21">
      <c r="B5" s="7">
        <v>44572</v>
      </c>
      <c r="C5" t="e" vm="3">
        <v>#VALUE!</v>
      </c>
      <c r="D5" t="s">
        <v>29</v>
      </c>
      <c r="E5">
        <v>-10</v>
      </c>
      <c r="F5" s="52">
        <v>150</v>
      </c>
      <c r="G5" s="48" t="s">
        <v>38</v>
      </c>
      <c r="H5" s="47">
        <f t="shared" si="0"/>
        <v>-1500</v>
      </c>
      <c r="I5" s="47"/>
      <c r="K5" s="72" t="s">
        <v>40</v>
      </c>
      <c r="L5" s="72"/>
      <c r="M5" s="72"/>
      <c r="N5" s="72"/>
      <c r="T5" s="69"/>
    </row>
    <row r="6" spans="2:21">
      <c r="B6" s="7">
        <v>44574</v>
      </c>
      <c r="C6" t="e" vm="1">
        <v>#VALUE!</v>
      </c>
      <c r="D6" t="s">
        <v>28</v>
      </c>
      <c r="E6">
        <v>100</v>
      </c>
      <c r="F6" s="52">
        <v>127</v>
      </c>
      <c r="G6" s="48" t="s">
        <v>38</v>
      </c>
      <c r="H6" s="47">
        <f t="shared" si="0"/>
        <v>12700</v>
      </c>
      <c r="I6" s="47"/>
      <c r="K6" s="72" t="s">
        <v>41</v>
      </c>
      <c r="L6" s="72"/>
      <c r="M6" s="72"/>
      <c r="N6" s="72"/>
      <c r="T6" s="69"/>
    </row>
    <row r="7" spans="2:21">
      <c r="B7" t="s">
        <v>42</v>
      </c>
      <c r="E7">
        <f>SUBTOTAL(109,Ledger[Shares])</f>
        <v>100</v>
      </c>
      <c r="H7" s="47">
        <f>SUBTOTAL(109,Ledger[Transaction Amount])</f>
        <v>21890</v>
      </c>
      <c r="I7" s="47"/>
      <c r="K7" s="72"/>
      <c r="L7" s="72"/>
      <c r="M7" s="72"/>
      <c r="N7" s="72"/>
      <c r="T7" s="69"/>
    </row>
    <row r="8" spans="2:21">
      <c r="I8" s="47"/>
      <c r="K8" s="72"/>
      <c r="T8" s="69"/>
    </row>
    <row r="9" spans="2:21">
      <c r="I9" s="47"/>
      <c r="K9" s="72"/>
      <c r="T9" s="69"/>
    </row>
    <row r="10" spans="2:21">
      <c r="I10" s="47"/>
      <c r="K10" s="72"/>
      <c r="T10" s="69"/>
    </row>
    <row r="11" spans="2:21">
      <c r="B11" s="69"/>
      <c r="I11" s="47"/>
      <c r="K11" s="72"/>
      <c r="T11" s="69"/>
    </row>
    <row r="12" spans="2:21">
      <c r="B12" s="69"/>
      <c r="I12" s="47"/>
      <c r="K12" s="72"/>
      <c r="T12" s="69"/>
    </row>
    <row r="13" spans="2:21">
      <c r="B13" s="69"/>
      <c r="L13" s="72"/>
      <c r="U13" s="69"/>
    </row>
    <row r="14" spans="2:21">
      <c r="B14" s="69"/>
      <c r="L14" s="72"/>
      <c r="U14" s="69"/>
    </row>
    <row r="15" spans="2:21">
      <c r="B15" s="69"/>
      <c r="L15" s="72"/>
      <c r="U15" s="69"/>
    </row>
    <row r="16" spans="2:21">
      <c r="B16" s="69"/>
      <c r="L16" s="72"/>
      <c r="U16" s="69"/>
    </row>
    <row r="17" spans="2:21">
      <c r="B17" s="69"/>
      <c r="L17" s="72"/>
      <c r="U17" s="69"/>
    </row>
    <row r="18" spans="2:21">
      <c r="B18" s="69"/>
      <c r="L18" s="72"/>
      <c r="U18" s="69"/>
    </row>
    <row r="19" spans="2:21">
      <c r="B19" s="69"/>
      <c r="L19" s="72"/>
      <c r="U19" s="69"/>
    </row>
    <row r="20" spans="2:21">
      <c r="B20" s="69"/>
      <c r="L20" s="72"/>
      <c r="U20" s="69"/>
    </row>
    <row r="21" spans="2:21">
      <c r="B21" s="69"/>
      <c r="L21" s="72"/>
      <c r="U21" s="69"/>
    </row>
    <row r="22" spans="2:21">
      <c r="B22" s="69"/>
      <c r="L22" s="72"/>
      <c r="U22" s="69"/>
    </row>
    <row r="23" spans="2:21">
      <c r="L23" s="72"/>
    </row>
    <row r="24" spans="2:21">
      <c r="L24" s="72"/>
    </row>
    <row r="25" spans="2:21">
      <c r="L25" s="72"/>
    </row>
    <row r="26" spans="2:21">
      <c r="L26" s="72"/>
    </row>
    <row r="27" spans="2:21">
      <c r="L27" s="72"/>
    </row>
    <row r="28" spans="2:21">
      <c r="L28" s="72"/>
    </row>
    <row r="29" spans="2:21">
      <c r="L29" s="72"/>
    </row>
    <row r="30" spans="2:21">
      <c r="L30" s="72"/>
    </row>
    <row r="31" spans="2:21">
      <c r="L31" s="72"/>
    </row>
    <row r="32" spans="2:21">
      <c r="L32" s="72"/>
    </row>
  </sheetData>
  <conditionalFormatting sqref="H4:I10">
    <cfRule type="cellIs" dxfId="4" priority="1" operator="lessThan">
      <formula>0</formula>
    </cfRule>
  </conditionalFormatting>
  <dataValidations count="2">
    <dataValidation type="list" allowBlank="1" showInputMessage="1" showErrorMessage="1" sqref="D4:D6" xr:uid="{505C8352-0609-4615-8291-DAC6A49BF413}">
      <formula1>TransactionVals</formula1>
    </dataValidation>
    <dataValidation type="custom" allowBlank="1" showInputMessage="1" showErrorMessage="1" sqref="E4:E6" xr:uid="{9FB91738-6E34-4AE0-A010-01091CA6561D}">
      <formula1>OR(AND(D4="SELL",E4&lt;0),AND(D4="BUY",E4&gt;0))</formula1>
    </dataValidation>
  </dataValidation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E05A5-CA72-4CCA-93CA-86174076C974}">
  <sheetPr codeName="Sheet2">
    <tabColor rgb="FFC00000"/>
  </sheetPr>
  <dimension ref="A1:K42"/>
  <sheetViews>
    <sheetView showGridLines="0" zoomScaleNormal="100" workbookViewId="0">
      <selection activeCell="B7" sqref="B7"/>
    </sheetView>
  </sheetViews>
  <sheetFormatPr defaultRowHeight="15"/>
  <cols>
    <col min="1" max="1" width="3.5703125" customWidth="1"/>
    <col min="2" max="2" width="13.5703125" customWidth="1"/>
    <col min="3" max="3" width="35.42578125" customWidth="1"/>
    <col min="4" max="4" width="23.42578125" customWidth="1"/>
    <col min="5" max="5" width="14.5703125" customWidth="1"/>
    <col min="6" max="6" width="16" customWidth="1"/>
  </cols>
  <sheetData>
    <row r="1" spans="1:11">
      <c r="A1" s="73"/>
      <c r="B1" s="73"/>
      <c r="C1" s="73"/>
    </row>
    <row r="2" spans="1:11" ht="44.25" customHeight="1">
      <c r="A2" s="74"/>
      <c r="B2" s="74"/>
      <c r="C2" s="75"/>
      <c r="H2" s="71"/>
    </row>
    <row r="3" spans="1:11">
      <c r="A3" s="74"/>
      <c r="B3" s="77" t="s">
        <v>31</v>
      </c>
      <c r="C3" s="78" t="s">
        <v>43</v>
      </c>
      <c r="D3" s="79" t="s">
        <v>24</v>
      </c>
      <c r="E3" s="79" t="s">
        <v>25</v>
      </c>
      <c r="F3" s="80" t="s">
        <v>44</v>
      </c>
      <c r="H3" s="72"/>
      <c r="I3" s="72"/>
      <c r="J3" s="72"/>
      <c r="K3" s="72"/>
    </row>
    <row r="4" spans="1:11">
      <c r="A4" s="74"/>
      <c r="B4" s="76">
        <v>44576</v>
      </c>
      <c r="C4" s="81" t="s">
        <v>45</v>
      </c>
      <c r="D4" t="s">
        <v>46</v>
      </c>
      <c r="E4" s="52">
        <v>14</v>
      </c>
      <c r="F4" s="48" t="s">
        <v>47</v>
      </c>
      <c r="H4" s="72"/>
      <c r="I4" s="72"/>
      <c r="J4" s="72"/>
      <c r="K4" s="72"/>
    </row>
    <row r="5" spans="1:11">
      <c r="A5" s="74"/>
      <c r="B5" s="76">
        <v>44577</v>
      </c>
      <c r="C5" s="81" t="s">
        <v>48</v>
      </c>
      <c r="D5" t="s">
        <v>49</v>
      </c>
      <c r="E5" s="52">
        <v>12</v>
      </c>
      <c r="F5" s="48" t="s">
        <v>50</v>
      </c>
      <c r="H5" s="72"/>
      <c r="I5" s="72"/>
      <c r="J5" s="72"/>
      <c r="K5" s="72"/>
    </row>
    <row r="6" spans="1:11">
      <c r="A6" s="74"/>
      <c r="B6" s="76">
        <v>44578</v>
      </c>
      <c r="C6" s="81" t="s">
        <v>51</v>
      </c>
      <c r="D6" t="s">
        <v>46</v>
      </c>
      <c r="E6" s="52">
        <v>300</v>
      </c>
      <c r="F6" s="48" t="s">
        <v>50</v>
      </c>
      <c r="H6" s="72"/>
      <c r="I6" s="72"/>
      <c r="J6" s="72"/>
      <c r="K6" s="72"/>
    </row>
    <row r="7" spans="1:11">
      <c r="A7" s="74"/>
      <c r="B7" t="s">
        <v>42</v>
      </c>
      <c r="E7" s="52">
        <f>SUBTOTAL(109,Liability[Amount])</f>
        <v>326</v>
      </c>
      <c r="H7" s="72"/>
      <c r="I7" s="72"/>
      <c r="J7" s="72"/>
      <c r="K7" s="72"/>
    </row>
    <row r="8" spans="1:11">
      <c r="A8" s="74"/>
      <c r="B8" s="74"/>
      <c r="C8" s="74"/>
      <c r="H8" s="72"/>
      <c r="I8" s="72"/>
      <c r="J8" s="72"/>
      <c r="K8" s="72"/>
    </row>
    <row r="9" spans="1:11" ht="15.75" thickBot="1">
      <c r="A9" s="74"/>
      <c r="B9" s="74"/>
      <c r="C9" s="74"/>
      <c r="F9" s="50" t="s">
        <v>52</v>
      </c>
      <c r="H9" s="72"/>
      <c r="I9" s="72"/>
      <c r="J9" s="72"/>
      <c r="K9" s="72"/>
    </row>
    <row r="10" spans="1:11">
      <c r="A10" s="74"/>
      <c r="B10" s="74"/>
      <c r="C10" s="74"/>
      <c r="E10" s="52"/>
      <c r="F10" s="52">
        <f>SUMIF(Liability[Paid(Y/N)], "N", Liability[Amount])</f>
        <v>312</v>
      </c>
      <c r="H10" s="72"/>
      <c r="I10" s="72"/>
      <c r="J10" s="72"/>
      <c r="K10" s="72"/>
    </row>
    <row r="11" spans="1:11">
      <c r="A11" s="74"/>
      <c r="B11" s="74"/>
      <c r="C11" s="74"/>
      <c r="H11" s="72"/>
      <c r="I11" s="72"/>
      <c r="J11" s="72"/>
      <c r="K11" s="72"/>
    </row>
    <row r="12" spans="1:11">
      <c r="A12" s="74"/>
      <c r="B12" s="74"/>
      <c r="C12" s="74"/>
      <c r="H12" s="72"/>
      <c r="I12" s="72"/>
      <c r="J12" s="72"/>
      <c r="K12" s="72"/>
    </row>
    <row r="13" spans="1:11">
      <c r="A13" s="74"/>
      <c r="B13" s="74"/>
      <c r="C13" s="74"/>
      <c r="H13" s="72"/>
      <c r="I13" s="72"/>
      <c r="J13" s="72"/>
      <c r="K13" s="72"/>
    </row>
    <row r="14" spans="1:11">
      <c r="A14" s="74"/>
      <c r="B14" s="74"/>
      <c r="C14" s="74"/>
      <c r="H14" s="72"/>
      <c r="I14" s="72"/>
      <c r="J14" s="72"/>
      <c r="K14" s="72"/>
    </row>
    <row r="15" spans="1:11">
      <c r="A15" s="74"/>
      <c r="B15" s="74"/>
      <c r="C15" s="74"/>
      <c r="H15" s="72"/>
      <c r="I15" s="72"/>
      <c r="J15" s="72"/>
      <c r="K15" s="72"/>
    </row>
    <row r="16" spans="1:11">
      <c r="A16" s="74"/>
      <c r="B16" s="74"/>
      <c r="C16" s="74"/>
      <c r="H16" s="72"/>
      <c r="I16" s="72"/>
      <c r="J16" s="72"/>
      <c r="K16" s="72"/>
    </row>
    <row r="17" spans="1:11">
      <c r="A17" s="74"/>
      <c r="B17" s="74"/>
      <c r="C17" s="74"/>
      <c r="H17" s="72"/>
      <c r="I17" s="72"/>
      <c r="J17" s="72"/>
      <c r="K17" s="72"/>
    </row>
    <row r="18" spans="1:11">
      <c r="A18" s="74"/>
      <c r="B18" s="74"/>
      <c r="C18" s="74"/>
      <c r="H18" s="72"/>
      <c r="I18" s="72"/>
      <c r="J18" s="72"/>
      <c r="K18" s="72"/>
    </row>
    <row r="19" spans="1:11">
      <c r="A19" s="74"/>
      <c r="B19" s="74"/>
      <c r="C19" s="74"/>
      <c r="H19" s="72"/>
      <c r="I19" s="72"/>
      <c r="J19" s="72"/>
      <c r="K19" s="72"/>
    </row>
    <row r="20" spans="1:11">
      <c r="A20" s="74"/>
      <c r="B20" s="74"/>
      <c r="C20" s="74"/>
    </row>
    <row r="21" spans="1:11">
      <c r="A21" s="74"/>
      <c r="B21" s="74"/>
      <c r="C21" s="74"/>
    </row>
    <row r="22" spans="1:11">
      <c r="A22" s="74"/>
      <c r="B22" s="74"/>
      <c r="C22" s="74"/>
    </row>
    <row r="23" spans="1:11">
      <c r="A23" s="74"/>
      <c r="B23" s="74"/>
      <c r="C23" s="74"/>
    </row>
    <row r="24" spans="1:11">
      <c r="A24" s="74"/>
    </row>
    <row r="25" spans="1:11">
      <c r="A25" s="74"/>
    </row>
    <row r="26" spans="1:11">
      <c r="A26" s="74"/>
    </row>
    <row r="27" spans="1:11">
      <c r="A27" s="74"/>
    </row>
    <row r="28" spans="1:11">
      <c r="A28" s="74"/>
    </row>
    <row r="29" spans="1:11">
      <c r="A29" s="74"/>
    </row>
    <row r="30" spans="1:11">
      <c r="A30" s="74"/>
    </row>
    <row r="31" spans="1:11">
      <c r="A31" s="74"/>
    </row>
    <row r="32" spans="1:11">
      <c r="A32" s="74"/>
    </row>
    <row r="33" spans="1:1">
      <c r="A33" s="74"/>
    </row>
    <row r="34" spans="1:1">
      <c r="A34" s="74"/>
    </row>
    <row r="35" spans="1:1">
      <c r="A35" s="74"/>
    </row>
    <row r="36" spans="1:1">
      <c r="A36" s="74"/>
    </row>
    <row r="37" spans="1:1">
      <c r="A37" s="74"/>
    </row>
    <row r="38" spans="1:1">
      <c r="A38" s="74"/>
    </row>
    <row r="39" spans="1:1">
      <c r="A39" s="74"/>
    </row>
    <row r="40" spans="1:1">
      <c r="A40" s="74"/>
    </row>
    <row r="41" spans="1:1">
      <c r="A41" s="74"/>
    </row>
    <row r="42" spans="1:1">
      <c r="A42" s="74"/>
    </row>
  </sheetData>
  <conditionalFormatting sqref="E10">
    <cfRule type="cellIs" dxfId="3" priority="2" operator="greaterThan">
      <formula>0</formula>
    </cfRule>
  </conditionalFormatting>
  <conditionalFormatting sqref="F10">
    <cfRule type="cellIs" dxfId="2" priority="1" operator="greaterThan">
      <formula>0</formula>
    </cfRule>
  </conditionalFormatting>
  <dataValidations count="3">
    <dataValidation type="decimal" allowBlank="1" showInputMessage="1" showErrorMessage="1" sqref="E4:E6" xr:uid="{CA80651E-2DDA-476A-BD52-0B5A354D7ED0}">
      <formula1>0.01</formula1>
      <formula2>9999999999999990</formula2>
    </dataValidation>
    <dataValidation type="list" allowBlank="1" showInputMessage="1" showErrorMessage="1" sqref="F4:F6" xr:uid="{0DA9D069-E086-4A56-9D58-5D3F67B9BBF9}">
      <formula1>Paid</formula1>
    </dataValidation>
    <dataValidation type="custom" allowBlank="1" showInputMessage="1" showErrorMessage="1" errorTitle="Duplicate Liability Name" sqref="C4:C6" xr:uid="{841F96E5-4471-4C69-93B0-253B680B0564}">
      <formula1>COUNTIF($C:$C,C4)=1</formula1>
    </dataValidation>
  </dataValidation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04BD0-66E2-4838-81FD-7434EB636B27}">
  <sheetPr codeName="Sheet4">
    <tabColor theme="5"/>
  </sheetPr>
  <dimension ref="B2:G27"/>
  <sheetViews>
    <sheetView workbookViewId="0">
      <selection activeCell="C13" sqref="C13"/>
    </sheetView>
  </sheetViews>
  <sheetFormatPr defaultRowHeight="15"/>
  <cols>
    <col min="2" max="2" width="9.42578125" customWidth="1"/>
    <col min="3" max="3" width="35.28515625" customWidth="1"/>
    <col min="4" max="4" width="14.7109375" customWidth="1"/>
    <col min="5" max="5" width="11.5703125" customWidth="1"/>
    <col min="6" max="6" width="10.28515625" customWidth="1"/>
    <col min="7" max="7" width="10.85546875" customWidth="1"/>
  </cols>
  <sheetData>
    <row r="2" spans="2:7" ht="36.6" customHeight="1"/>
    <row r="3" spans="2:7" ht="14.45" customHeight="1">
      <c r="B3" t="s">
        <v>31</v>
      </c>
      <c r="C3" t="s">
        <v>53</v>
      </c>
      <c r="D3" t="s">
        <v>24</v>
      </c>
      <c r="E3" t="s">
        <v>54</v>
      </c>
      <c r="F3" t="s">
        <v>25</v>
      </c>
      <c r="G3" t="s">
        <v>55</v>
      </c>
    </row>
    <row r="4" spans="2:7" ht="14.45" customHeight="1">
      <c r="B4" s="7">
        <v>44576</v>
      </c>
      <c r="C4" t="s">
        <v>56</v>
      </c>
      <c r="D4" t="s">
        <v>49</v>
      </c>
      <c r="E4" t="s">
        <v>57</v>
      </c>
      <c r="F4" s="52">
        <v>320</v>
      </c>
      <c r="G4" s="7">
        <v>44576</v>
      </c>
    </row>
    <row r="5" spans="2:7" ht="14.45" customHeight="1">
      <c r="B5" s="7">
        <v>44577</v>
      </c>
      <c r="C5" t="s">
        <v>58</v>
      </c>
      <c r="D5" t="s">
        <v>49</v>
      </c>
      <c r="E5" t="s">
        <v>59</v>
      </c>
      <c r="F5" s="52">
        <v>12</v>
      </c>
      <c r="G5" s="7">
        <v>44577</v>
      </c>
    </row>
    <row r="6" spans="2:7">
      <c r="B6" s="7">
        <v>44578</v>
      </c>
      <c r="C6" t="s">
        <v>60</v>
      </c>
      <c r="D6" t="s">
        <v>61</v>
      </c>
      <c r="E6" t="s">
        <v>59</v>
      </c>
      <c r="F6" s="52">
        <v>1000</v>
      </c>
      <c r="G6" s="7">
        <v>44578</v>
      </c>
    </row>
    <row r="7" spans="2:7">
      <c r="B7" t="s">
        <v>62</v>
      </c>
      <c r="F7" s="52">
        <f>SUM(SUMIFS(Table4[Amount],Table4[Frequency],"Monthly"), (SUMIFS(Table4[Amount],Table4[Frequency],"Annually"))/12)</f>
        <v>1038.6666666666667</v>
      </c>
    </row>
    <row r="13" spans="2:7">
      <c r="C13" s="55"/>
      <c r="G13" s="55"/>
    </row>
    <row r="14" spans="2:7">
      <c r="C14" s="55"/>
      <c r="G14" s="55"/>
    </row>
    <row r="15" spans="2:7">
      <c r="C15" s="55"/>
      <c r="G15" s="55"/>
    </row>
    <row r="16" spans="2:7">
      <c r="C16" s="55"/>
      <c r="G16" s="55"/>
    </row>
    <row r="17" spans="3:7">
      <c r="C17" s="55"/>
      <c r="G17" s="55"/>
    </row>
    <row r="18" spans="3:7">
      <c r="G18" s="55"/>
    </row>
    <row r="19" spans="3:7">
      <c r="G19" s="55"/>
    </row>
    <row r="20" spans="3:7">
      <c r="G20" s="55"/>
    </row>
    <row r="21" spans="3:7">
      <c r="G21" s="55"/>
    </row>
    <row r="22" spans="3:7">
      <c r="G22" s="55"/>
    </row>
    <row r="23" spans="3:7">
      <c r="G23" s="55"/>
    </row>
    <row r="24" spans="3:7">
      <c r="G24" s="55"/>
    </row>
    <row r="25" spans="3:7">
      <c r="G25" s="55"/>
    </row>
    <row r="26" spans="3:7">
      <c r="G26" s="55"/>
    </row>
    <row r="27" spans="3:7">
      <c r="G27" s="55"/>
    </row>
  </sheetData>
  <dataValidations count="5">
    <dataValidation type="decimal" allowBlank="1" showInputMessage="1" showErrorMessage="1" sqref="F16 F13 F4:F6" xr:uid="{09FE313C-9081-49CE-9A7D-D3AC6C763176}">
      <formula1>0.01</formula1>
      <formula2>9999999999999990</formula2>
    </dataValidation>
    <dataValidation type="custom" allowBlank="1" showInputMessage="1" showErrorMessage="1" errorTitle="Duplicate Liability Name" sqref="C16 C13 C4:C6" xr:uid="{C8ABAD5E-A01A-445E-B601-4AF522C72FBA}">
      <formula1>COUNTIF($C:$C,C4)=1</formula1>
    </dataValidation>
    <dataValidation type="list" allowBlank="1" showInputMessage="1" showErrorMessage="1" sqref="E4:E6" xr:uid="{07176A12-BBAF-4132-B03D-AB8571DC9BF2}">
      <formula1>"Monthly, Annually"</formula1>
    </dataValidation>
    <dataValidation type="list" allowBlank="1" showInputMessage="1" showErrorMessage="1" sqref="D4:D6" xr:uid="{215C4430-FF7B-4BB6-AD5F-57E3BBBB5700}">
      <formula1>"Subscription, Downpayment, Insurance, Membership"</formula1>
    </dataValidation>
    <dataValidation type="date" operator="greaterThan" allowBlank="1" showInputMessage="1" showErrorMessage="1" sqref="B4:B6" xr:uid="{923F0111-53B4-4DE1-92C1-B628B5E80C6A}">
      <formula1>44197</formula1>
    </dataValidation>
  </dataValidations>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5A4FC-FB35-4010-A2B9-7856CA56D837}">
  <sheetPr codeName="Sheet7">
    <tabColor theme="9"/>
  </sheetPr>
  <dimension ref="A1:T609"/>
  <sheetViews>
    <sheetView zoomScaleNormal="100" workbookViewId="0">
      <selection activeCell="D9" sqref="D9"/>
    </sheetView>
  </sheetViews>
  <sheetFormatPr defaultRowHeight="15"/>
  <cols>
    <col min="1" max="1" width="33.42578125" style="134" customWidth="1"/>
    <col min="2" max="4" width="20.5703125" style="135" customWidth="1"/>
    <col min="5" max="9" width="26.5703125" style="66" customWidth="1"/>
    <col min="10" max="10" width="33.42578125" style="66" customWidth="1"/>
    <col min="11" max="11" width="36" customWidth="1"/>
    <col min="12" max="12" width="19.5703125" customWidth="1"/>
    <col min="13" max="13" width="17.42578125" customWidth="1"/>
    <col min="14" max="14" width="18.5703125" customWidth="1"/>
    <col min="15" max="15" width="24.42578125" customWidth="1"/>
    <col min="16" max="16" width="25.42578125" customWidth="1"/>
    <col min="17" max="17" width="35.42578125" customWidth="1"/>
    <col min="18" max="18" width="9.42578125" bestFit="1" customWidth="1"/>
    <col min="19" max="19" width="44.42578125" customWidth="1"/>
  </cols>
  <sheetData>
    <row r="1" spans="1:20">
      <c r="A1" s="163" t="s">
        <v>63</v>
      </c>
      <c r="B1" s="163"/>
      <c r="C1" s="163"/>
      <c r="D1" s="163"/>
      <c r="E1" s="163"/>
      <c r="F1" s="163"/>
      <c r="G1" s="163"/>
      <c r="H1" s="163"/>
      <c r="I1" s="163"/>
      <c r="J1" s="105"/>
    </row>
    <row r="2" spans="1:20">
      <c r="A2" s="163"/>
      <c r="B2" s="163"/>
      <c r="C2" s="163"/>
      <c r="D2" s="163"/>
      <c r="E2" s="163"/>
      <c r="F2" s="163"/>
      <c r="G2" s="163"/>
      <c r="H2" s="163"/>
      <c r="I2" s="163"/>
      <c r="J2" s="106"/>
    </row>
    <row r="3" spans="1:20">
      <c r="A3" s="9" t="s">
        <v>64</v>
      </c>
      <c r="B3" s="10" t="s">
        <v>65</v>
      </c>
      <c r="C3" s="68"/>
      <c r="D3" s="40"/>
      <c r="E3" s="68"/>
      <c r="F3" s="23"/>
      <c r="G3" s="23"/>
      <c r="H3" s="23"/>
      <c r="I3" s="23"/>
      <c r="J3" s="23"/>
    </row>
    <row r="4" spans="1:20">
      <c r="A4" s="8" t="s">
        <v>66</v>
      </c>
      <c r="B4" s="67">
        <f>SUM(E14:E1048576)</f>
        <v>0</v>
      </c>
      <c r="C4" s="68"/>
      <c r="D4" s="23"/>
      <c r="E4" s="68"/>
      <c r="F4" s="23"/>
      <c r="G4" s="23"/>
      <c r="H4" s="23"/>
      <c r="I4" s="23"/>
      <c r="J4" s="23"/>
      <c r="Q4" s="164" t="s">
        <v>67</v>
      </c>
      <c r="R4" s="164"/>
      <c r="S4" s="165"/>
    </row>
    <row r="5" spans="1:20">
      <c r="A5" s="8" t="s">
        <v>68</v>
      </c>
      <c r="B5" s="67">
        <f>SUM(G$14:G$1048576)</f>
        <v>0</v>
      </c>
      <c r="C5" s="68"/>
      <c r="D5" s="23"/>
      <c r="E5" s="166" t="s">
        <v>30</v>
      </c>
      <c r="F5" s="166"/>
      <c r="G5" s="166"/>
      <c r="H5" s="23"/>
      <c r="I5" s="23"/>
      <c r="J5" s="23"/>
      <c r="K5" s="63"/>
      <c r="L5" s="63"/>
      <c r="M5" s="63"/>
      <c r="N5" s="63"/>
      <c r="O5" s="63"/>
      <c r="P5" s="63"/>
      <c r="Q5" s="116" t="s">
        <v>69</v>
      </c>
      <c r="R5" s="117" t="s">
        <v>70</v>
      </c>
      <c r="S5" s="115" t="str" cm="1">
        <f t="array" aca="1" ref="S5" ca="1">_xlfn.FORMULATEXT(INDIRECT(R5))</f>
        <v>=VLOOKUP(B14,'CPF Table'!$A$13:$E$23,3,TRUE)*F14</v>
      </c>
      <c r="T5" s="63"/>
    </row>
    <row r="6" spans="1:20">
      <c r="A6" s="8" t="s">
        <v>71</v>
      </c>
      <c r="B6" s="67">
        <f>SUM(H$14:H$1048576)</f>
        <v>0</v>
      </c>
      <c r="C6" s="68"/>
      <c r="D6" s="23"/>
      <c r="E6" s="166" t="s">
        <v>72</v>
      </c>
      <c r="F6" s="166"/>
      <c r="G6" s="166"/>
      <c r="H6" s="23"/>
      <c r="I6" s="23"/>
      <c r="J6" s="23"/>
      <c r="K6" s="63"/>
      <c r="L6" s="63"/>
      <c r="M6" s="63"/>
      <c r="N6" s="63"/>
      <c r="O6" s="63"/>
      <c r="P6" s="63"/>
      <c r="Q6" s="115" t="s">
        <v>73</v>
      </c>
      <c r="R6" s="118" t="s">
        <v>74</v>
      </c>
      <c r="S6" s="115" t="str" cm="1">
        <f t="array" aca="1" ref="S6" ca="1">_xlfn.FORMULATEXT(INDIRECT(R6))</f>
        <v>=IF(VLOOKUP(B14,'CPF Table'!$A$4:$G$8,5,TRUE)*CPF!C14&gt;=VLOOKUP(B14,'CPF Table'!$A$4:$G$8,6,TRUE),VLOOKUP(B14,'CPF Table'!$A$4:$G$8,5,TRUE)*C14+VLOOKUP(B14,'CPF Table'!$A$4:$G$8,5,TRUE)*CPF!D14,VLOOKUP(B14,'CPF Table'!$A$4:$G$8,5,TRUE)*CPF!C14+VLOOKUP(B14,'CPF Table'!$A$4:$G$8,5,TRUE)*CPF!D14)</v>
      </c>
      <c r="T6" s="63"/>
    </row>
    <row r="7" spans="1:20">
      <c r="A7" s="8" t="s">
        <v>75</v>
      </c>
      <c r="B7" s="67">
        <f>SUM(I$14:I$1048576)</f>
        <v>0</v>
      </c>
      <c r="C7" s="68"/>
      <c r="D7" s="23"/>
      <c r="E7" s="167" t="s">
        <v>76</v>
      </c>
      <c r="F7" s="167"/>
      <c r="G7" s="167"/>
      <c r="H7" s="23"/>
      <c r="I7" s="23"/>
      <c r="J7" s="23"/>
      <c r="K7" s="63"/>
      <c r="L7" s="63"/>
      <c r="M7" s="63"/>
      <c r="N7" s="63"/>
      <c r="O7" s="63"/>
      <c r="P7" s="63"/>
      <c r="Q7" s="115" t="s">
        <v>77</v>
      </c>
      <c r="R7" s="115" t="s">
        <v>78</v>
      </c>
      <c r="S7" s="116" t="str" cm="1">
        <f t="array" aca="1" ref="S7" ca="1">_xlfn.FORMULATEXT(INDIRECT(R7))</f>
        <v>=SUM(F14:F1048576)</v>
      </c>
      <c r="T7" s="63"/>
    </row>
    <row r="8" spans="1:20">
      <c r="A8" s="8" t="s">
        <v>79</v>
      </c>
      <c r="B8" s="67">
        <f>SUM(F14:F1048576)</f>
        <v>0</v>
      </c>
      <c r="C8" s="68"/>
      <c r="D8" s="23"/>
      <c r="E8" s="168" t="s">
        <v>80</v>
      </c>
      <c r="F8" s="168"/>
      <c r="G8" s="168"/>
      <c r="H8" s="119"/>
      <c r="I8" s="23"/>
      <c r="J8" s="23"/>
      <c r="K8" s="63"/>
      <c r="L8" s="63"/>
      <c r="M8" s="63"/>
      <c r="N8" s="63"/>
      <c r="O8" s="63"/>
      <c r="P8" s="63"/>
      <c r="Q8" s="115"/>
      <c r="R8" s="115" t="s">
        <v>81</v>
      </c>
      <c r="S8" s="115" t="str" cm="1">
        <f t="array" aca="1" ref="S8" ca="1">_xlfn.FORMULATEXT(INDIRECT(R8))</f>
        <v>=B4-B8</v>
      </c>
      <c r="T8" s="63"/>
    </row>
    <row r="9" spans="1:20">
      <c r="A9" s="8" t="s">
        <v>82</v>
      </c>
      <c r="B9" s="67">
        <f>B4-B8</f>
        <v>0</v>
      </c>
      <c r="C9" s="68"/>
      <c r="D9" s="23"/>
      <c r="E9" s="27"/>
      <c r="F9" s="120"/>
      <c r="G9" s="120"/>
      <c r="H9" s="23"/>
      <c r="I9" s="23"/>
      <c r="J9" s="23"/>
      <c r="K9" s="63"/>
      <c r="L9" s="63"/>
      <c r="M9" s="63"/>
      <c r="N9" s="63"/>
      <c r="O9" s="63"/>
      <c r="P9" s="63"/>
      <c r="Q9" s="115" t="s">
        <v>83</v>
      </c>
      <c r="R9" s="115" t="s">
        <v>84</v>
      </c>
      <c r="S9" s="115" t="str" cm="1">
        <f t="array" aca="1" ref="S9" ca="1">_xlfn.FORMULATEXT(INDIRECT(R9))</f>
        <v>=SUM(I$14:I$1048576)</v>
      </c>
      <c r="T9" s="63"/>
    </row>
    <row r="10" spans="1:20">
      <c r="A10" s="23"/>
      <c r="B10" s="23"/>
      <c r="C10" s="23"/>
      <c r="D10" s="23"/>
      <c r="E10" s="23"/>
      <c r="F10" s="119"/>
      <c r="G10" s="23"/>
      <c r="H10" s="23"/>
      <c r="I10" s="23"/>
      <c r="J10" s="23"/>
      <c r="K10" s="63"/>
      <c r="L10" s="65"/>
      <c r="M10" s="63"/>
      <c r="N10" s="63"/>
      <c r="O10" s="63"/>
      <c r="P10" s="63"/>
      <c r="Q10" s="63"/>
      <c r="R10" s="63"/>
      <c r="S10" s="63"/>
      <c r="T10" s="63"/>
    </row>
    <row r="11" spans="1:20">
      <c r="A11" s="23"/>
      <c r="B11" s="23"/>
      <c r="C11" s="23"/>
      <c r="D11" s="23"/>
      <c r="E11" s="23"/>
      <c r="F11" s="23"/>
      <c r="G11" s="23"/>
      <c r="H11" s="23"/>
      <c r="I11" s="23"/>
      <c r="J11" s="23"/>
      <c r="K11" s="63"/>
      <c r="L11" s="65"/>
      <c r="M11" s="63"/>
      <c r="N11" s="63"/>
      <c r="O11" s="63"/>
      <c r="P11" s="63"/>
      <c r="Q11" s="63"/>
      <c r="R11" s="63"/>
      <c r="S11" s="63"/>
      <c r="T11" s="63"/>
    </row>
    <row r="12" spans="1:20">
      <c r="A12" s="23"/>
      <c r="B12" s="23"/>
      <c r="C12" s="23"/>
      <c r="D12" s="23"/>
      <c r="E12" s="23"/>
      <c r="F12" s="119"/>
      <c r="G12" s="119"/>
      <c r="H12" s="23"/>
      <c r="I12" s="23"/>
      <c r="J12" s="23"/>
      <c r="K12" s="63"/>
      <c r="L12" s="65"/>
      <c r="M12" s="63"/>
      <c r="N12" s="63"/>
      <c r="O12" s="63"/>
      <c r="P12" s="63"/>
      <c r="Q12" s="63"/>
      <c r="R12" s="63"/>
      <c r="S12" s="63"/>
      <c r="T12" s="63"/>
    </row>
    <row r="13" spans="1:20">
      <c r="A13" s="121" t="s">
        <v>31</v>
      </c>
      <c r="B13" s="122" t="s">
        <v>85</v>
      </c>
      <c r="C13" s="123" t="s">
        <v>86</v>
      </c>
      <c r="D13" s="123" t="s">
        <v>87</v>
      </c>
      <c r="E13" s="10" t="s">
        <v>88</v>
      </c>
      <c r="F13" s="11" t="s">
        <v>79</v>
      </c>
      <c r="G13" s="11" t="s">
        <v>89</v>
      </c>
      <c r="H13" s="11" t="s">
        <v>90</v>
      </c>
      <c r="I13" s="11" t="s">
        <v>91</v>
      </c>
      <c r="J13" s="104" t="s">
        <v>92</v>
      </c>
      <c r="K13" s="63"/>
      <c r="L13" s="65"/>
      <c r="M13" s="65"/>
      <c r="N13" s="65"/>
      <c r="O13" s="65"/>
      <c r="P13" s="65"/>
      <c r="Q13" s="63"/>
      <c r="R13" s="63"/>
      <c r="S13" s="63"/>
      <c r="T13" s="63"/>
    </row>
    <row r="14" spans="1:20">
      <c r="A14" s="124">
        <v>44562</v>
      </c>
      <c r="B14" s="125"/>
      <c r="C14" s="126"/>
      <c r="D14" s="127"/>
      <c r="E14" s="18">
        <f>C14+D14</f>
        <v>0</v>
      </c>
      <c r="F14" s="18">
        <f>IF(VLOOKUP(B14,'CPF Table'!$A$4:$G$8,5,TRUE)*CPF!C14&gt;=VLOOKUP(B14,'CPF Table'!$A$4:$G$8,6,TRUE),VLOOKUP(B14,'CPF Table'!$A$4:$G$8,5,TRUE)*C14+VLOOKUP(B14,'CPF Table'!$A$4:$G$8,5,TRUE)*CPF!D14,VLOOKUP(B14,'CPF Table'!$A$4:$G$8,5,TRUE)*CPF!C14+VLOOKUP(B14,'CPF Table'!$A$4:$G$8,5,TRUE)*CPF!D14)</f>
        <v>0</v>
      </c>
      <c r="G14" s="18">
        <f>VLOOKUP(B14,'CPF Table'!$A$13:$E$23,3,TRUE)*F14</f>
        <v>0</v>
      </c>
      <c r="H14" s="18">
        <f>VLOOKUP(B14,'CPF Table'!$A$13:$E$23,4,TRUE)*CPF!F14</f>
        <v>0</v>
      </c>
      <c r="I14" s="18">
        <f>VLOOKUP(B14,'CPF Table'!$A$13:$E$23,5,TRUE)*CPF!F14</f>
        <v>0</v>
      </c>
      <c r="J14" s="103">
        <f t="shared" ref="J14:J77" si="0">E14-F14</f>
        <v>0</v>
      </c>
      <c r="K14" s="22"/>
      <c r="L14" s="63"/>
      <c r="M14" s="63"/>
      <c r="N14" s="63"/>
      <c r="O14" s="63"/>
      <c r="P14" s="63"/>
      <c r="Q14" s="63"/>
      <c r="R14" s="63"/>
      <c r="S14" s="63"/>
      <c r="T14" s="63"/>
    </row>
    <row r="15" spans="1:20">
      <c r="A15" s="124">
        <v>44593</v>
      </c>
      <c r="B15" s="125"/>
      <c r="C15" s="126"/>
      <c r="D15" s="127"/>
      <c r="E15" s="18">
        <f>C15+D15</f>
        <v>0</v>
      </c>
      <c r="F15" s="18">
        <f>IF(VLOOKUP(B15,'CPF Table'!$A$4:$G$8,5,TRUE)*CPF!C15&gt;=VLOOKUP(B15,'CPF Table'!$A$4:$G$8,6,TRUE),VLOOKUP(B15,'CPF Table'!$A$4:$G$8,5,TRUE)*C15+VLOOKUP(B15,'CPF Table'!$A$4:$G$8,5,TRUE)*CPF!D15,VLOOKUP(B15,'CPF Table'!$A$4:$G$8,5,TRUE)*CPF!C15+VLOOKUP(B15,'CPF Table'!$A$4:$G$8,5,TRUE)*CPF!D15)</f>
        <v>0</v>
      </c>
      <c r="G15" s="18">
        <f>VLOOKUP(B15,'CPF Table'!$A$13:$E$23,3,TRUE)*F15</f>
        <v>0</v>
      </c>
      <c r="H15" s="18">
        <f>VLOOKUP(B15,'CPF Table'!$A$13:$E$23,4,TRUE)*CPF!F15</f>
        <v>0</v>
      </c>
      <c r="I15" s="18">
        <f>VLOOKUP(B15,'CPF Table'!$A$13:$E$23,5,TRUE)*CPF!F15</f>
        <v>0</v>
      </c>
      <c r="J15" s="103">
        <f t="shared" si="0"/>
        <v>0</v>
      </c>
      <c r="K15" s="22"/>
      <c r="L15" s="60"/>
      <c r="M15" s="60"/>
      <c r="N15" s="52"/>
      <c r="O15" s="52"/>
      <c r="P15" s="52"/>
      <c r="Q15" s="63"/>
      <c r="R15" s="63"/>
      <c r="S15" s="63"/>
      <c r="T15" s="63"/>
    </row>
    <row r="16" spans="1:20">
      <c r="A16" s="124">
        <v>44621</v>
      </c>
      <c r="B16" s="125"/>
      <c r="C16" s="126"/>
      <c r="D16" s="127"/>
      <c r="E16" s="18">
        <f t="shared" ref="E16:E78" si="1">C16+D16</f>
        <v>0</v>
      </c>
      <c r="F16" s="18">
        <f>IF(VLOOKUP(B16,'CPF Table'!$A$4:$G$8,5,TRUE)*CPF!C16&gt;=VLOOKUP(B16,'CPF Table'!$A$4:$G$8,6,TRUE),VLOOKUP(B16,'CPF Table'!$A$4:$G$8,5,TRUE)*C16+VLOOKUP(B16,'CPF Table'!$A$4:$G$8,5,TRUE)*CPF!D16,VLOOKUP(B16,'CPF Table'!$A$4:$G$8,5,TRUE)*CPF!C16+VLOOKUP(B16,'CPF Table'!$A$4:$G$8,5,TRUE)*CPF!D16)</f>
        <v>0</v>
      </c>
      <c r="G16" s="18">
        <f>VLOOKUP(B16,'CPF Table'!$A$13:$E$23,3,TRUE)*F16</f>
        <v>0</v>
      </c>
      <c r="H16" s="18">
        <f>VLOOKUP(B16,'CPF Table'!$A$13:$E$23,4,TRUE)*CPF!F16</f>
        <v>0</v>
      </c>
      <c r="I16" s="18">
        <f>VLOOKUP(B16,'CPF Table'!$A$13:$E$23,5,TRUE)*CPF!F16</f>
        <v>0</v>
      </c>
      <c r="J16" s="103">
        <f t="shared" si="0"/>
        <v>0</v>
      </c>
      <c r="K16" s="22"/>
      <c r="M16" s="61"/>
      <c r="N16" s="52"/>
      <c r="O16" s="52"/>
      <c r="P16" s="52"/>
      <c r="Q16" s="63"/>
      <c r="R16" s="63"/>
      <c r="S16" s="63"/>
      <c r="T16" s="63"/>
    </row>
    <row r="17" spans="1:20">
      <c r="A17" s="124">
        <v>44652</v>
      </c>
      <c r="B17" s="125"/>
      <c r="C17" s="126"/>
      <c r="D17" s="127"/>
      <c r="E17" s="18">
        <f t="shared" si="1"/>
        <v>0</v>
      </c>
      <c r="F17" s="18">
        <f>IF(VLOOKUP(B17,'CPF Table'!$A$4:$G$8,5,TRUE)*CPF!C17&gt;=VLOOKUP(B17,'CPF Table'!$A$4:$G$8,6,TRUE),VLOOKUP(B17,'CPF Table'!$A$4:$G$8,5,TRUE)*C17+VLOOKUP(B17,'CPF Table'!$A$4:$G$8,5,TRUE)*CPF!D17,VLOOKUP(B17,'CPF Table'!$A$4:$G$8,5,TRUE)*CPF!C17+VLOOKUP(B17,'CPF Table'!$A$4:$G$8,5,TRUE)*CPF!D17)</f>
        <v>0</v>
      </c>
      <c r="G17" s="18">
        <f>VLOOKUP(B17,'CPF Table'!$A$13:$E$23,3,TRUE)*F17</f>
        <v>0</v>
      </c>
      <c r="H17" s="18">
        <f>VLOOKUP(B17,'CPF Table'!$A$13:$E$23,4,TRUE)*CPF!F17</f>
        <v>0</v>
      </c>
      <c r="I17" s="18">
        <f>VLOOKUP(B17,'CPF Table'!$A$13:$E$23,5,TRUE)*CPF!F17</f>
        <v>0</v>
      </c>
      <c r="J17" s="103">
        <f t="shared" si="0"/>
        <v>0</v>
      </c>
      <c r="K17" s="22"/>
      <c r="N17" s="52"/>
      <c r="O17" s="52"/>
      <c r="P17" s="52"/>
      <c r="Q17" s="64"/>
      <c r="R17" s="64"/>
      <c r="S17" s="64"/>
      <c r="T17" s="63"/>
    </row>
    <row r="18" spans="1:20">
      <c r="A18" s="124">
        <v>44682</v>
      </c>
      <c r="B18" s="125"/>
      <c r="C18" s="126"/>
      <c r="D18" s="127"/>
      <c r="E18" s="18">
        <f t="shared" si="1"/>
        <v>0</v>
      </c>
      <c r="F18" s="18">
        <f>IF(VLOOKUP(B18,'CPF Table'!$A$4:$G$8,5,TRUE)*CPF!C18&gt;=VLOOKUP(B18,'CPF Table'!$A$4:$G$8,6,TRUE),VLOOKUP(B18,'CPF Table'!$A$4:$G$8,5,TRUE)*C18+VLOOKUP(B18,'CPF Table'!$A$4:$G$8,5,TRUE)*CPF!D18,VLOOKUP(B18,'CPF Table'!$A$4:$G$8,5,TRUE)*CPF!C18+VLOOKUP(B18,'CPF Table'!$A$4:$G$8,5,TRUE)*CPF!D18)</f>
        <v>0</v>
      </c>
      <c r="G18" s="18">
        <f>VLOOKUP(B18,'CPF Table'!$A$13:$E$23,3,TRUE)*F18</f>
        <v>0</v>
      </c>
      <c r="H18" s="18">
        <f>VLOOKUP(B18,'CPF Table'!$A$13:$E$23,4,TRUE)*CPF!F18</f>
        <v>0</v>
      </c>
      <c r="I18" s="18">
        <f>VLOOKUP(B18,'CPF Table'!$A$13:$E$23,5,TRUE)*CPF!F18</f>
        <v>0</v>
      </c>
      <c r="J18" s="103">
        <f t="shared" si="0"/>
        <v>0</v>
      </c>
      <c r="K18" s="22"/>
      <c r="N18" s="52"/>
      <c r="O18" s="52"/>
      <c r="P18" s="52"/>
      <c r="Q18" s="63"/>
      <c r="R18" s="63"/>
      <c r="S18" s="63"/>
      <c r="T18" s="63"/>
    </row>
    <row r="19" spans="1:20">
      <c r="A19" s="124">
        <v>44713</v>
      </c>
      <c r="B19" s="125"/>
      <c r="C19" s="126"/>
      <c r="D19" s="127"/>
      <c r="E19" s="18">
        <f t="shared" si="1"/>
        <v>0</v>
      </c>
      <c r="F19" s="18">
        <f>IF(VLOOKUP(B19,'CPF Table'!$A$4:$G$8,5,TRUE)*CPF!C19&gt;=VLOOKUP(B19,'CPF Table'!$A$4:$G$8,6,TRUE),VLOOKUP(B19,'CPF Table'!$A$4:$G$8,5,TRUE)*C19+VLOOKUP(B19,'CPF Table'!$A$4:$G$8,5,TRUE)*CPF!D19,VLOOKUP(B19,'CPF Table'!$A$4:$G$8,5,TRUE)*CPF!C19+VLOOKUP(B19,'CPF Table'!$A$4:$G$8,5,TRUE)*CPF!D19)</f>
        <v>0</v>
      </c>
      <c r="G19" s="18">
        <f>VLOOKUP(B19,'CPF Table'!$A$13:$E$23,3,TRUE)*F19</f>
        <v>0</v>
      </c>
      <c r="H19" s="18">
        <f>VLOOKUP(B19,'CPF Table'!$A$13:$E$23,4,TRUE)*CPF!F19</f>
        <v>0</v>
      </c>
      <c r="I19" s="18">
        <f>VLOOKUP(B19,'CPF Table'!$A$13:$E$23,5,TRUE)*CPF!F19</f>
        <v>0</v>
      </c>
      <c r="J19" s="103">
        <f t="shared" si="0"/>
        <v>0</v>
      </c>
      <c r="K19" s="22"/>
      <c r="N19" s="52"/>
      <c r="O19" s="52"/>
      <c r="P19" s="52"/>
      <c r="Q19" s="63"/>
      <c r="R19" s="63"/>
      <c r="S19" s="63"/>
      <c r="T19" s="63"/>
    </row>
    <row r="20" spans="1:20">
      <c r="A20" s="124">
        <v>44743</v>
      </c>
      <c r="B20" s="125"/>
      <c r="C20" s="126"/>
      <c r="D20" s="127"/>
      <c r="E20" s="18">
        <f t="shared" si="1"/>
        <v>0</v>
      </c>
      <c r="F20" s="18">
        <f>IF(VLOOKUP(B20,'CPF Table'!$A$4:$G$8,5,TRUE)*CPF!C20&gt;=VLOOKUP(B20,'CPF Table'!$A$4:$G$8,6,TRUE),VLOOKUP(B20,'CPF Table'!$A$4:$G$8,5,TRUE)*C20+VLOOKUP(B20,'CPF Table'!$A$4:$G$8,5,TRUE)*CPF!D20,VLOOKUP(B20,'CPF Table'!$A$4:$G$8,5,TRUE)*CPF!C20+VLOOKUP(B20,'CPF Table'!$A$4:$G$8,5,TRUE)*CPF!D20)</f>
        <v>0</v>
      </c>
      <c r="G20" s="18">
        <f>VLOOKUP(B20,'CPF Table'!$A$13:$E$23,3,TRUE)*F20</f>
        <v>0</v>
      </c>
      <c r="H20" s="18">
        <f>VLOOKUP(B20,'CPF Table'!$A$13:$E$23,4,TRUE)*CPF!F20</f>
        <v>0</v>
      </c>
      <c r="I20" s="18">
        <f>VLOOKUP(B20,'CPF Table'!$A$13:$E$23,5,TRUE)*CPF!F20</f>
        <v>0</v>
      </c>
      <c r="J20" s="103">
        <f t="shared" si="0"/>
        <v>0</v>
      </c>
      <c r="K20" s="22"/>
      <c r="N20" s="52"/>
      <c r="O20" s="52"/>
      <c r="P20" s="52"/>
      <c r="Q20" s="63"/>
      <c r="R20" s="63"/>
      <c r="S20" s="63"/>
      <c r="T20" s="63"/>
    </row>
    <row r="21" spans="1:20">
      <c r="A21" s="124">
        <v>44774</v>
      </c>
      <c r="B21" s="125"/>
      <c r="C21" s="126">
        <v>0</v>
      </c>
      <c r="D21" s="127">
        <v>0</v>
      </c>
      <c r="E21" s="18">
        <f t="shared" si="1"/>
        <v>0</v>
      </c>
      <c r="F21" s="18">
        <f>IF(VLOOKUP(B21,'CPF Table'!$A$4:$G$8,5,TRUE)*CPF!C21&gt;=VLOOKUP(B21,'CPF Table'!$A$4:$G$8,6,TRUE),VLOOKUP(B21,'CPF Table'!$A$4:$G$8,5,TRUE)*C21+VLOOKUP(B21,'CPF Table'!$A$4:$G$8,5,TRUE)*CPF!D21,VLOOKUP(B21,'CPF Table'!$A$4:$G$8,5,TRUE)*CPF!C21+VLOOKUP(B21,'CPF Table'!$A$4:$G$8,5,TRUE)*CPF!D21)</f>
        <v>0</v>
      </c>
      <c r="G21" s="18">
        <f>VLOOKUP(B21,'CPF Table'!$A$13:$E$23,3,TRUE)*F21</f>
        <v>0</v>
      </c>
      <c r="H21" s="18">
        <f>VLOOKUP(B21,'CPF Table'!$A$13:$E$23,4,TRUE)*CPF!F21</f>
        <v>0</v>
      </c>
      <c r="I21" s="18">
        <f>VLOOKUP(B21,'CPF Table'!$A$13:$E$23,5,TRUE)*CPF!F21</f>
        <v>0</v>
      </c>
      <c r="J21" s="103">
        <f t="shared" si="0"/>
        <v>0</v>
      </c>
      <c r="K21" s="22"/>
      <c r="L21" s="63"/>
      <c r="M21" s="63"/>
      <c r="N21" s="63"/>
      <c r="O21" s="63"/>
      <c r="P21" s="63"/>
      <c r="Q21" s="63"/>
      <c r="R21" s="63"/>
      <c r="S21" s="63"/>
      <c r="T21" s="63"/>
    </row>
    <row r="22" spans="1:20">
      <c r="A22" s="124">
        <v>44805</v>
      </c>
      <c r="B22" s="125"/>
      <c r="C22" s="126">
        <v>0</v>
      </c>
      <c r="D22" s="127">
        <v>0</v>
      </c>
      <c r="E22" s="18">
        <f t="shared" si="1"/>
        <v>0</v>
      </c>
      <c r="F22" s="18">
        <f>IF(VLOOKUP(B22,'CPF Table'!$A$4:$G$8,5,TRUE)*CPF!C22&gt;=VLOOKUP(B22,'CPF Table'!$A$4:$G$8,6,TRUE),VLOOKUP(B22,'CPF Table'!$A$4:$G$8,5,TRUE)*C22+VLOOKUP(B22,'CPF Table'!$A$4:$G$8,5,TRUE)*CPF!D22,VLOOKUP(B22,'CPF Table'!$A$4:$G$8,5,TRUE)*CPF!C22+VLOOKUP(B22,'CPF Table'!$A$4:$G$8,5,TRUE)*CPF!D22)</f>
        <v>0</v>
      </c>
      <c r="G22" s="18">
        <f>VLOOKUP(B22,'CPF Table'!$A$13:$E$23,3,TRUE)*F22</f>
        <v>0</v>
      </c>
      <c r="H22" s="18">
        <f>VLOOKUP(B22,'CPF Table'!$A$13:$E$23,4,TRUE)*CPF!F22</f>
        <v>0</v>
      </c>
      <c r="I22" s="18">
        <f>VLOOKUP(B22,'CPF Table'!$A$13:$E$23,5,TRUE)*CPF!F22</f>
        <v>0</v>
      </c>
      <c r="J22" s="103">
        <f t="shared" si="0"/>
        <v>0</v>
      </c>
      <c r="K22" s="22"/>
      <c r="L22" s="63"/>
      <c r="M22" s="63"/>
      <c r="N22" s="63"/>
      <c r="O22" s="63"/>
      <c r="P22" s="63"/>
      <c r="Q22" s="63"/>
      <c r="R22" s="63"/>
      <c r="S22" s="63"/>
      <c r="T22" s="63"/>
    </row>
    <row r="23" spans="1:20">
      <c r="A23" s="124">
        <v>44835</v>
      </c>
      <c r="B23" s="125"/>
      <c r="C23" s="126">
        <v>0</v>
      </c>
      <c r="D23" s="127">
        <v>0</v>
      </c>
      <c r="E23" s="18">
        <f t="shared" si="1"/>
        <v>0</v>
      </c>
      <c r="F23" s="18">
        <f>IF(VLOOKUP(B23,'CPF Table'!$A$4:$G$8,5,TRUE)*CPF!C23&gt;=VLOOKUP(B23,'CPF Table'!$A$4:$G$8,6,TRUE),VLOOKUP(B23,'CPF Table'!$A$4:$G$8,5,TRUE)*C23+VLOOKUP(B23,'CPF Table'!$A$4:$G$8,5,TRUE)*CPF!D23,VLOOKUP(B23,'CPF Table'!$A$4:$G$8,5,TRUE)*CPF!C23+VLOOKUP(B23,'CPF Table'!$A$4:$G$8,5,TRUE)*CPF!D23)</f>
        <v>0</v>
      </c>
      <c r="G23" s="18">
        <f>VLOOKUP(B23,'CPF Table'!$A$13:$E$23,3,TRUE)*F23</f>
        <v>0</v>
      </c>
      <c r="H23" s="18">
        <f>VLOOKUP(B23,'CPF Table'!$A$13:$E$23,4,TRUE)*CPF!F23</f>
        <v>0</v>
      </c>
      <c r="I23" s="18">
        <f>VLOOKUP(B23,'CPF Table'!$A$13:$E$23,5,TRUE)*CPF!F23</f>
        <v>0</v>
      </c>
      <c r="J23" s="103">
        <f t="shared" si="0"/>
        <v>0</v>
      </c>
      <c r="K23" s="22"/>
      <c r="L23" s="63"/>
      <c r="M23" s="63"/>
      <c r="N23" s="63"/>
      <c r="O23" s="63"/>
      <c r="P23" s="63"/>
      <c r="Q23" s="63"/>
      <c r="R23" s="63"/>
      <c r="S23" s="63"/>
      <c r="T23" s="63"/>
    </row>
    <row r="24" spans="1:20">
      <c r="A24" s="124">
        <v>44866</v>
      </c>
      <c r="B24" s="125"/>
      <c r="C24" s="126">
        <v>0</v>
      </c>
      <c r="D24" s="127">
        <v>0</v>
      </c>
      <c r="E24" s="18">
        <f t="shared" si="1"/>
        <v>0</v>
      </c>
      <c r="F24" s="18">
        <f>IF(VLOOKUP(B24,'CPF Table'!$A$4:$G$8,5,TRUE)*CPF!C24&gt;=VLOOKUP(B24,'CPF Table'!$A$4:$G$8,6,TRUE),VLOOKUP(B24,'CPF Table'!$A$4:$G$8,5,TRUE)*C24+VLOOKUP(B24,'CPF Table'!$A$4:$G$8,5,TRUE)*CPF!D24,VLOOKUP(B24,'CPF Table'!$A$4:$G$8,5,TRUE)*CPF!C24+VLOOKUP(B24,'CPF Table'!$A$4:$G$8,5,TRUE)*CPF!D24)</f>
        <v>0</v>
      </c>
      <c r="G24" s="18">
        <f>VLOOKUP(B24,'CPF Table'!$A$13:$E$23,3,TRUE)*F24</f>
        <v>0</v>
      </c>
      <c r="H24" s="18">
        <f>VLOOKUP(B24,'CPF Table'!$A$13:$E$23,4,TRUE)*CPF!F24</f>
        <v>0</v>
      </c>
      <c r="I24" s="18">
        <f>VLOOKUP(B24,'CPF Table'!$A$13:$E$23,5,TRUE)*CPF!F24</f>
        <v>0</v>
      </c>
      <c r="J24" s="103">
        <f t="shared" si="0"/>
        <v>0</v>
      </c>
      <c r="K24" s="22"/>
      <c r="L24" s="63"/>
      <c r="M24" s="63"/>
      <c r="N24" s="63"/>
      <c r="O24" s="63"/>
      <c r="P24" s="63"/>
      <c r="Q24" s="63"/>
      <c r="R24" s="63"/>
      <c r="S24" s="63"/>
      <c r="T24" s="63"/>
    </row>
    <row r="25" spans="1:20">
      <c r="A25" s="124">
        <v>44896</v>
      </c>
      <c r="B25" s="125"/>
      <c r="C25" s="126">
        <v>0</v>
      </c>
      <c r="D25" s="127">
        <v>0</v>
      </c>
      <c r="E25" s="18">
        <f t="shared" si="1"/>
        <v>0</v>
      </c>
      <c r="F25" s="18">
        <f>IF(VLOOKUP(B25,'CPF Table'!$A$4:$G$8,5,TRUE)*CPF!C25&gt;=VLOOKUP(B25,'CPF Table'!$A$4:$G$8,6,TRUE),VLOOKUP(B25,'CPF Table'!$A$4:$G$8,5,TRUE)*C25+VLOOKUP(B25,'CPF Table'!$A$4:$G$8,5,TRUE)*CPF!D25,VLOOKUP(B25,'CPF Table'!$A$4:$G$8,5,TRUE)*CPF!C25+VLOOKUP(B25,'CPF Table'!$A$4:$G$8,5,TRUE)*CPF!D25)</f>
        <v>0</v>
      </c>
      <c r="G25" s="18">
        <f>VLOOKUP(B25,'CPF Table'!$A$13:$E$23,3,TRUE)*F25</f>
        <v>0</v>
      </c>
      <c r="H25" s="18">
        <f>VLOOKUP(B25,'CPF Table'!$A$13:$E$23,4,TRUE)*CPF!F25</f>
        <v>0</v>
      </c>
      <c r="I25" s="18">
        <f>VLOOKUP(B25,'CPF Table'!$A$13:$E$23,5,TRUE)*CPF!F25</f>
        <v>0</v>
      </c>
      <c r="J25" s="103">
        <f t="shared" si="0"/>
        <v>0</v>
      </c>
      <c r="K25" s="22"/>
      <c r="L25" s="63"/>
      <c r="M25" s="63"/>
      <c r="N25" s="63"/>
      <c r="O25" s="63"/>
      <c r="P25" s="63"/>
      <c r="Q25" s="63"/>
      <c r="R25" s="63"/>
      <c r="S25" s="63"/>
      <c r="T25" s="63"/>
    </row>
    <row r="26" spans="1:20">
      <c r="A26" s="124"/>
      <c r="B26" s="125"/>
      <c r="C26" s="126">
        <v>0</v>
      </c>
      <c r="D26" s="127">
        <v>0</v>
      </c>
      <c r="E26" s="18">
        <f t="shared" si="1"/>
        <v>0</v>
      </c>
      <c r="F26" s="18">
        <f>IF(VLOOKUP(B26,'CPF Table'!$A$4:$G$8,5,TRUE)*CPF!C26&gt;=VLOOKUP(B26,'CPF Table'!$A$4:$G$8,6,TRUE),VLOOKUP(B26,'CPF Table'!$A$4:$G$8,5,TRUE)*C26+VLOOKUP(B26,'CPF Table'!$A$4:$G$8,5,TRUE)*CPF!D26,VLOOKUP(B26,'CPF Table'!$A$4:$G$8,5,TRUE)*CPF!C26+VLOOKUP(B26,'CPF Table'!$A$4:$G$8,5,TRUE)*CPF!D26)</f>
        <v>0</v>
      </c>
      <c r="G26" s="18">
        <f>VLOOKUP(B26,'CPF Table'!$A$13:$E$23,3,TRUE)*F26</f>
        <v>0</v>
      </c>
      <c r="H26" s="18">
        <f>VLOOKUP(B26,'CPF Table'!$A$13:$E$23,4,TRUE)*CPF!F26</f>
        <v>0</v>
      </c>
      <c r="I26" s="18">
        <f>VLOOKUP(B26,'CPF Table'!$A$13:$E$23,5,TRUE)*CPF!F26</f>
        <v>0</v>
      </c>
      <c r="J26" s="103">
        <f t="shared" si="0"/>
        <v>0</v>
      </c>
      <c r="K26" s="22"/>
      <c r="L26" s="63"/>
      <c r="M26" s="63"/>
      <c r="N26" s="63"/>
      <c r="O26" s="63"/>
      <c r="P26" s="63"/>
      <c r="Q26" s="63"/>
      <c r="R26" s="63"/>
      <c r="S26" s="63"/>
      <c r="T26" s="63"/>
    </row>
    <row r="27" spans="1:20">
      <c r="A27" s="124"/>
      <c r="B27" s="125"/>
      <c r="C27" s="126">
        <v>0</v>
      </c>
      <c r="D27" s="127">
        <v>0</v>
      </c>
      <c r="E27" s="18">
        <f t="shared" si="1"/>
        <v>0</v>
      </c>
      <c r="F27" s="18">
        <f>IF(VLOOKUP(B27,'CPF Table'!$A$4:$G$8,5,TRUE)*CPF!C27&gt;=VLOOKUP(B27,'CPF Table'!$A$4:$G$8,6,TRUE),VLOOKUP(B27,'CPF Table'!$A$4:$G$8,5,TRUE)*C27+VLOOKUP(B27,'CPF Table'!$A$4:$G$8,5,TRUE)*CPF!D27,VLOOKUP(B27,'CPF Table'!$A$4:$G$8,5,TRUE)*CPF!C27+VLOOKUP(B27,'CPF Table'!$A$4:$G$8,5,TRUE)*CPF!D27)</f>
        <v>0</v>
      </c>
      <c r="G27" s="18">
        <f>VLOOKUP(B27,'CPF Table'!$A$13:$E$23,3,TRUE)*F27</f>
        <v>0</v>
      </c>
      <c r="H27" s="18">
        <f>VLOOKUP(B27,'CPF Table'!$A$13:$E$23,4,TRUE)*CPF!F27</f>
        <v>0</v>
      </c>
      <c r="I27" s="18">
        <f>VLOOKUP(B27,'CPF Table'!$A$13:$E$23,5,TRUE)*CPF!F27</f>
        <v>0</v>
      </c>
      <c r="J27" s="103">
        <f t="shared" si="0"/>
        <v>0</v>
      </c>
      <c r="K27" s="22"/>
      <c r="L27" s="63"/>
      <c r="M27" s="63"/>
      <c r="N27" s="63"/>
      <c r="O27" s="63"/>
      <c r="P27" s="63"/>
      <c r="Q27" s="63"/>
      <c r="R27" s="63"/>
      <c r="S27" s="63"/>
      <c r="T27" s="63"/>
    </row>
    <row r="28" spans="1:20">
      <c r="A28" s="124"/>
      <c r="B28" s="125"/>
      <c r="C28" s="126">
        <v>0</v>
      </c>
      <c r="D28" s="127">
        <v>0</v>
      </c>
      <c r="E28" s="18">
        <f t="shared" si="1"/>
        <v>0</v>
      </c>
      <c r="F28" s="18">
        <f>IF(VLOOKUP(B28,'CPF Table'!$A$4:$G$8,5,TRUE)*CPF!C28&gt;=VLOOKUP(B28,'CPF Table'!$A$4:$G$8,6,TRUE),VLOOKUP(B28,'CPF Table'!$A$4:$G$8,5,TRUE)*C28+VLOOKUP(B28,'CPF Table'!$A$4:$G$8,5,TRUE)*CPF!D28,VLOOKUP(B28,'CPF Table'!$A$4:$G$8,5,TRUE)*CPF!C28+VLOOKUP(B28,'CPF Table'!$A$4:$G$8,5,TRUE)*CPF!D28)</f>
        <v>0</v>
      </c>
      <c r="G28" s="18">
        <f>VLOOKUP(B28,'CPF Table'!$A$13:$E$23,3,TRUE)*F28</f>
        <v>0</v>
      </c>
      <c r="H28" s="18">
        <f>VLOOKUP(B28,'CPF Table'!$A$13:$E$23,4,TRUE)*CPF!F28</f>
        <v>0</v>
      </c>
      <c r="I28" s="18">
        <f>VLOOKUP(B28,'CPF Table'!$A$13:$E$23,5,TRUE)*CPF!F28</f>
        <v>0</v>
      </c>
      <c r="J28" s="103">
        <f t="shared" si="0"/>
        <v>0</v>
      </c>
      <c r="K28" s="63"/>
      <c r="L28" s="63"/>
      <c r="M28" s="63"/>
      <c r="N28" s="63"/>
      <c r="O28" s="63"/>
      <c r="P28" s="63"/>
      <c r="Q28" s="63"/>
      <c r="R28" s="63"/>
      <c r="S28" s="63"/>
      <c r="T28" s="63"/>
    </row>
    <row r="29" spans="1:20">
      <c r="A29" s="124"/>
      <c r="B29" s="125"/>
      <c r="C29" s="126">
        <v>0</v>
      </c>
      <c r="D29" s="127">
        <v>0</v>
      </c>
      <c r="E29" s="18">
        <f t="shared" si="1"/>
        <v>0</v>
      </c>
      <c r="F29" s="18">
        <f>IF(VLOOKUP(B29,'CPF Table'!$A$4:$G$8,5,TRUE)*CPF!C29&gt;=VLOOKUP(B29,'CPF Table'!$A$4:$G$8,6,TRUE),VLOOKUP(B29,'CPF Table'!$A$4:$G$8,5,TRUE)*C29+VLOOKUP(B29,'CPF Table'!$A$4:$G$8,5,TRUE)*CPF!D29,VLOOKUP(B29,'CPF Table'!$A$4:$G$8,5,TRUE)*CPF!C29+VLOOKUP(B29,'CPF Table'!$A$4:$G$8,5,TRUE)*CPF!D29)</f>
        <v>0</v>
      </c>
      <c r="G29" s="18">
        <f>VLOOKUP(B29,'CPF Table'!$A$13:$E$23,3,TRUE)*F29</f>
        <v>0</v>
      </c>
      <c r="H29" s="18">
        <f>VLOOKUP(B29,'CPF Table'!$A$13:$E$23,4,TRUE)*CPF!F29</f>
        <v>0</v>
      </c>
      <c r="I29" s="18">
        <f>VLOOKUP(B29,'CPF Table'!$A$13:$E$23,5,TRUE)*CPF!F29</f>
        <v>0</v>
      </c>
      <c r="J29" s="103">
        <f t="shared" si="0"/>
        <v>0</v>
      </c>
      <c r="K29" s="63"/>
      <c r="L29" s="63"/>
      <c r="M29" s="63"/>
      <c r="N29" s="63"/>
      <c r="O29" s="63"/>
      <c r="P29" s="63"/>
      <c r="Q29" s="63"/>
      <c r="R29" s="63"/>
      <c r="S29" s="63"/>
      <c r="T29" s="63"/>
    </row>
    <row r="30" spans="1:20">
      <c r="A30" s="124"/>
      <c r="B30" s="125"/>
      <c r="C30" s="126">
        <v>0</v>
      </c>
      <c r="D30" s="127">
        <v>0</v>
      </c>
      <c r="E30" s="18">
        <f t="shared" si="1"/>
        <v>0</v>
      </c>
      <c r="F30" s="18">
        <f>IF(VLOOKUP(B30,'CPF Table'!$A$4:$G$8,5,TRUE)*CPF!C30&gt;=VLOOKUP(B30,'CPF Table'!$A$4:$G$8,6,TRUE),VLOOKUP(B30,'CPF Table'!$A$4:$G$8,5,TRUE)*C30+VLOOKUP(B30,'CPF Table'!$A$4:$G$8,5,TRUE)*CPF!D30,VLOOKUP(B30,'CPF Table'!$A$4:$G$8,5,TRUE)*CPF!C30+VLOOKUP(B30,'CPF Table'!$A$4:$G$8,5,TRUE)*CPF!D30)</f>
        <v>0</v>
      </c>
      <c r="G30" s="18">
        <f>VLOOKUP(B30,'CPF Table'!$A$13:$E$23,3,TRUE)*F30</f>
        <v>0</v>
      </c>
      <c r="H30" s="18">
        <f>VLOOKUP(B30,'CPF Table'!$A$13:$E$23,4,TRUE)*CPF!F30</f>
        <v>0</v>
      </c>
      <c r="I30" s="18">
        <f>VLOOKUP(B30,'CPF Table'!$A$13:$E$23,5,TRUE)*CPF!F30</f>
        <v>0</v>
      </c>
      <c r="J30" s="103">
        <f t="shared" si="0"/>
        <v>0</v>
      </c>
      <c r="K30" s="63"/>
      <c r="L30" s="63"/>
      <c r="M30" s="63"/>
      <c r="N30" s="63"/>
      <c r="O30" s="63"/>
      <c r="P30" s="63"/>
      <c r="Q30" s="63"/>
      <c r="R30" s="63"/>
      <c r="S30" s="63"/>
      <c r="T30" s="63"/>
    </row>
    <row r="31" spans="1:20">
      <c r="A31" s="124"/>
      <c r="B31" s="125"/>
      <c r="C31" s="126">
        <v>0</v>
      </c>
      <c r="D31" s="127">
        <v>0</v>
      </c>
      <c r="E31" s="18">
        <f t="shared" si="1"/>
        <v>0</v>
      </c>
      <c r="F31" s="18">
        <f>IF(VLOOKUP(B31,'CPF Table'!$A$4:$G$8,5,TRUE)*CPF!C31&gt;=VLOOKUP(B31,'CPF Table'!$A$4:$G$8,6,TRUE),VLOOKUP(B31,'CPF Table'!$A$4:$G$8,5,TRUE)*C31+VLOOKUP(B31,'CPF Table'!$A$4:$G$8,5,TRUE)*CPF!D31,VLOOKUP(B31,'CPF Table'!$A$4:$G$8,5,TRUE)*CPF!C31+VLOOKUP(B31,'CPF Table'!$A$4:$G$8,5,TRUE)*CPF!D31)</f>
        <v>0</v>
      </c>
      <c r="G31" s="18">
        <f>VLOOKUP(B31,'CPF Table'!$A$13:$E$23,3,TRUE)*F31</f>
        <v>0</v>
      </c>
      <c r="H31" s="18">
        <f>VLOOKUP(B31,'CPF Table'!$A$13:$E$23,4,TRUE)*CPF!F31</f>
        <v>0</v>
      </c>
      <c r="I31" s="18">
        <f>VLOOKUP(B31,'CPF Table'!$A$13:$E$23,5,TRUE)*CPF!F31</f>
        <v>0</v>
      </c>
      <c r="J31" s="103">
        <f t="shared" si="0"/>
        <v>0</v>
      </c>
      <c r="K31" s="63"/>
      <c r="L31" s="63"/>
      <c r="M31" s="63"/>
      <c r="N31" s="63"/>
      <c r="O31" s="63"/>
      <c r="P31" s="63"/>
      <c r="Q31" s="63"/>
      <c r="R31" s="63"/>
      <c r="S31" s="63"/>
      <c r="T31" s="63"/>
    </row>
    <row r="32" spans="1:20">
      <c r="A32" s="124"/>
      <c r="B32" s="125"/>
      <c r="C32" s="126">
        <v>0</v>
      </c>
      <c r="D32" s="127">
        <v>0</v>
      </c>
      <c r="E32" s="18">
        <f t="shared" si="1"/>
        <v>0</v>
      </c>
      <c r="F32" s="18">
        <f>IF(VLOOKUP(B32,'CPF Table'!$A$4:$G$8,5,TRUE)*CPF!C32&gt;=VLOOKUP(B32,'CPF Table'!$A$4:$G$8,6,TRUE),VLOOKUP(B32,'CPF Table'!$A$4:$G$8,5,TRUE)*C32+VLOOKUP(B32,'CPF Table'!$A$4:$G$8,5,TRUE)*CPF!D32,VLOOKUP(B32,'CPF Table'!$A$4:$G$8,5,TRUE)*CPF!C32+VLOOKUP(B32,'CPF Table'!$A$4:$G$8,5,TRUE)*CPF!D32)</f>
        <v>0</v>
      </c>
      <c r="G32" s="18">
        <f>VLOOKUP(B32,'CPF Table'!$A$13:$E$23,3,TRUE)*F32</f>
        <v>0</v>
      </c>
      <c r="H32" s="18">
        <f>VLOOKUP(B32,'CPF Table'!$A$13:$E$23,4,TRUE)*CPF!F32</f>
        <v>0</v>
      </c>
      <c r="I32" s="18">
        <f>VLOOKUP(B32,'CPF Table'!$A$13:$E$23,5,TRUE)*CPF!F32</f>
        <v>0</v>
      </c>
      <c r="J32" s="103">
        <f t="shared" si="0"/>
        <v>0</v>
      </c>
      <c r="K32" s="63"/>
      <c r="L32" s="63"/>
      <c r="M32" s="63"/>
      <c r="N32" s="63"/>
      <c r="O32" s="63"/>
      <c r="P32" s="63"/>
      <c r="Q32" s="63"/>
      <c r="R32" s="63"/>
      <c r="S32" s="63"/>
      <c r="T32" s="63"/>
    </row>
    <row r="33" spans="1:20">
      <c r="A33" s="124"/>
      <c r="B33" s="125"/>
      <c r="C33" s="126">
        <v>0</v>
      </c>
      <c r="D33" s="127">
        <v>0</v>
      </c>
      <c r="E33" s="18">
        <f t="shared" si="1"/>
        <v>0</v>
      </c>
      <c r="F33" s="18">
        <f>IF(VLOOKUP(B33,'CPF Table'!$A$4:$G$8,5,TRUE)*CPF!C33&gt;=VLOOKUP(B33,'CPF Table'!$A$4:$G$8,6,TRUE),VLOOKUP(B33,'CPF Table'!$A$4:$G$8,5,TRUE)*C33+VLOOKUP(B33,'CPF Table'!$A$4:$G$8,5,TRUE)*CPF!D33,VLOOKUP(B33,'CPF Table'!$A$4:$G$8,5,TRUE)*CPF!C33+VLOOKUP(B33,'CPF Table'!$A$4:$G$8,5,TRUE)*CPF!D33)</f>
        <v>0</v>
      </c>
      <c r="G33" s="18">
        <f>VLOOKUP(B33,'CPF Table'!$A$13:$E$23,3,TRUE)*F33</f>
        <v>0</v>
      </c>
      <c r="H33" s="18">
        <f>VLOOKUP(B33,'CPF Table'!$A$13:$E$23,4,TRUE)*CPF!F33</f>
        <v>0</v>
      </c>
      <c r="I33" s="18">
        <f>VLOOKUP(B33,'CPF Table'!$A$13:$E$23,5,TRUE)*CPF!F33</f>
        <v>0</v>
      </c>
      <c r="J33" s="103">
        <f t="shared" si="0"/>
        <v>0</v>
      </c>
      <c r="K33" s="63"/>
      <c r="L33" s="63"/>
      <c r="M33" s="63"/>
      <c r="N33" s="63"/>
      <c r="O33" s="63"/>
      <c r="P33" s="63"/>
      <c r="Q33" s="63"/>
      <c r="R33" s="63"/>
      <c r="S33" s="63"/>
      <c r="T33" s="63"/>
    </row>
    <row r="34" spans="1:20">
      <c r="A34" s="124"/>
      <c r="B34" s="125"/>
      <c r="C34" s="126">
        <v>0</v>
      </c>
      <c r="D34" s="127">
        <v>0</v>
      </c>
      <c r="E34" s="18">
        <f t="shared" si="1"/>
        <v>0</v>
      </c>
      <c r="F34" s="18">
        <f>IF(VLOOKUP(B34,'CPF Table'!$A$4:$G$8,5,TRUE)*CPF!C34&gt;=VLOOKUP(B34,'CPF Table'!$A$4:$G$8,6,TRUE),VLOOKUP(B34,'CPF Table'!$A$4:$G$8,5,TRUE)*C34+VLOOKUP(B34,'CPF Table'!$A$4:$G$8,5,TRUE)*CPF!D34,VLOOKUP(B34,'CPF Table'!$A$4:$G$8,5,TRUE)*CPF!C34+VLOOKUP(B34,'CPF Table'!$A$4:$G$8,5,TRUE)*CPF!D34)</f>
        <v>0</v>
      </c>
      <c r="G34" s="18">
        <f>VLOOKUP(B34,'CPF Table'!$A$13:$E$23,3,TRUE)*F34</f>
        <v>0</v>
      </c>
      <c r="H34" s="18">
        <f>VLOOKUP(B34,'CPF Table'!$A$13:$E$23,4,TRUE)*CPF!F34</f>
        <v>0</v>
      </c>
      <c r="I34" s="18">
        <f>VLOOKUP(B34,'CPF Table'!$A$13:$E$23,5,TRUE)*CPF!F34</f>
        <v>0</v>
      </c>
      <c r="J34" s="103">
        <f t="shared" si="0"/>
        <v>0</v>
      </c>
      <c r="K34" s="63"/>
      <c r="L34" s="63"/>
      <c r="M34" s="63"/>
      <c r="N34" s="63"/>
      <c r="O34" s="63"/>
      <c r="P34" s="63"/>
      <c r="Q34" s="63"/>
      <c r="R34" s="63"/>
      <c r="S34" s="63"/>
      <c r="T34" s="63"/>
    </row>
    <row r="35" spans="1:20">
      <c r="A35" s="124"/>
      <c r="B35" s="125"/>
      <c r="C35" s="126">
        <v>0</v>
      </c>
      <c r="D35" s="127">
        <v>0</v>
      </c>
      <c r="E35" s="18">
        <f t="shared" si="1"/>
        <v>0</v>
      </c>
      <c r="F35" s="18">
        <f>IF(VLOOKUP(B35,'CPF Table'!$A$4:$G$8,5,TRUE)*CPF!C35&gt;=VLOOKUP(B35,'CPF Table'!$A$4:$G$8,6,TRUE),VLOOKUP(B35,'CPF Table'!$A$4:$G$8,5,TRUE)*C35+VLOOKUP(B35,'CPF Table'!$A$4:$G$8,5,TRUE)*CPF!D35,VLOOKUP(B35,'CPF Table'!$A$4:$G$8,5,TRUE)*CPF!C35+VLOOKUP(B35,'CPF Table'!$A$4:$G$8,5,TRUE)*CPF!D35)</f>
        <v>0</v>
      </c>
      <c r="G35" s="18">
        <f>VLOOKUP(B35,'CPF Table'!$A$13:$E$23,3,TRUE)*F35</f>
        <v>0</v>
      </c>
      <c r="H35" s="18">
        <f>VLOOKUP(B35,'CPF Table'!$A$13:$E$23,4,TRUE)*CPF!F35</f>
        <v>0</v>
      </c>
      <c r="I35" s="18">
        <f>VLOOKUP(B35,'CPF Table'!$A$13:$E$23,5,TRUE)*CPF!F35</f>
        <v>0</v>
      </c>
      <c r="J35" s="103">
        <f t="shared" si="0"/>
        <v>0</v>
      </c>
      <c r="K35" s="63"/>
      <c r="L35" s="63"/>
      <c r="M35" s="63"/>
      <c r="N35" s="63"/>
      <c r="O35" s="63"/>
      <c r="P35" s="63"/>
      <c r="Q35" s="63"/>
      <c r="R35" s="63"/>
      <c r="S35" s="63"/>
      <c r="T35" s="63"/>
    </row>
    <row r="36" spans="1:20">
      <c r="A36" s="124"/>
      <c r="B36" s="125"/>
      <c r="C36" s="126">
        <v>0</v>
      </c>
      <c r="D36" s="127">
        <v>0</v>
      </c>
      <c r="E36" s="18">
        <f t="shared" si="1"/>
        <v>0</v>
      </c>
      <c r="F36" s="18">
        <f>IF(VLOOKUP(B36,'CPF Table'!$A$4:$G$8,5,TRUE)*CPF!C36&gt;=VLOOKUP(B36,'CPF Table'!$A$4:$G$8,6,TRUE),VLOOKUP(B36,'CPF Table'!$A$4:$G$8,5,TRUE)*C36+VLOOKUP(B36,'CPF Table'!$A$4:$G$8,5,TRUE)*CPF!D36,VLOOKUP(B36,'CPF Table'!$A$4:$G$8,5,TRUE)*CPF!C36+VLOOKUP(B36,'CPF Table'!$A$4:$G$8,5,TRUE)*CPF!D36)</f>
        <v>0</v>
      </c>
      <c r="G36" s="18">
        <f>VLOOKUP(B36,'CPF Table'!$A$13:$E$23,3,TRUE)*F36</f>
        <v>0</v>
      </c>
      <c r="H36" s="18">
        <f>VLOOKUP(B36,'CPF Table'!$A$13:$E$23,4,TRUE)*CPF!F36</f>
        <v>0</v>
      </c>
      <c r="I36" s="18">
        <f>VLOOKUP(B36,'CPF Table'!$A$13:$E$23,5,TRUE)*CPF!F36</f>
        <v>0</v>
      </c>
      <c r="J36" s="103">
        <f t="shared" si="0"/>
        <v>0</v>
      </c>
      <c r="K36" s="63"/>
      <c r="L36" s="63"/>
      <c r="M36" s="63"/>
      <c r="N36" s="63"/>
      <c r="O36" s="63"/>
      <c r="P36" s="63"/>
      <c r="Q36" s="63"/>
      <c r="R36" s="63"/>
      <c r="S36" s="63"/>
      <c r="T36" s="63"/>
    </row>
    <row r="37" spans="1:20">
      <c r="A37" s="124"/>
      <c r="B37" s="125"/>
      <c r="C37" s="126">
        <v>0</v>
      </c>
      <c r="D37" s="127">
        <v>0</v>
      </c>
      <c r="E37" s="18">
        <f t="shared" si="1"/>
        <v>0</v>
      </c>
      <c r="F37" s="18">
        <f>IF(VLOOKUP(B37,'CPF Table'!$A$4:$G$8,5,TRUE)*CPF!C37&gt;=VLOOKUP(B37,'CPF Table'!$A$4:$G$8,6,TRUE),VLOOKUP(B37,'CPF Table'!$A$4:$G$8,5,TRUE)*C37+VLOOKUP(B37,'CPF Table'!$A$4:$G$8,5,TRUE)*CPF!D37,VLOOKUP(B37,'CPF Table'!$A$4:$G$8,5,TRUE)*CPF!C37+VLOOKUP(B37,'CPF Table'!$A$4:$G$8,5,TRUE)*CPF!D37)</f>
        <v>0</v>
      </c>
      <c r="G37" s="18">
        <f>VLOOKUP(B37,'CPF Table'!$A$13:$E$23,3,TRUE)*F37</f>
        <v>0</v>
      </c>
      <c r="H37" s="18">
        <f>VLOOKUP(B37,'CPF Table'!$A$13:$E$23,4,TRUE)*CPF!F37</f>
        <v>0</v>
      </c>
      <c r="I37" s="18">
        <f>VLOOKUP(B37,'CPF Table'!$A$13:$E$23,5,TRUE)*CPF!F37</f>
        <v>0</v>
      </c>
      <c r="J37" s="103">
        <f t="shared" si="0"/>
        <v>0</v>
      </c>
      <c r="K37" s="63"/>
      <c r="L37" s="63"/>
      <c r="M37" s="63"/>
      <c r="N37" s="63"/>
      <c r="O37" s="63"/>
      <c r="P37" s="63"/>
      <c r="Q37" s="63"/>
      <c r="R37" s="63"/>
      <c r="S37" s="63"/>
      <c r="T37" s="63"/>
    </row>
    <row r="38" spans="1:20">
      <c r="A38" s="124" t="s">
        <v>93</v>
      </c>
      <c r="B38" s="125"/>
      <c r="C38" s="126">
        <v>0</v>
      </c>
      <c r="D38" s="127">
        <v>0</v>
      </c>
      <c r="E38" s="18">
        <f t="shared" si="1"/>
        <v>0</v>
      </c>
      <c r="F38" s="18">
        <f>IF(VLOOKUP(B38,'CPF Table'!$A$4:$G$8,5,TRUE)*CPF!C38&gt;=VLOOKUP(B38,'CPF Table'!$A$4:$G$8,6,TRUE),VLOOKUP(B38,'CPF Table'!$A$4:$G$8,5,TRUE)*C38+VLOOKUP(B38,'CPF Table'!$A$4:$G$8,5,TRUE)*CPF!D38,VLOOKUP(B38,'CPF Table'!$A$4:$G$8,5,TRUE)*CPF!C38+VLOOKUP(B38,'CPF Table'!$A$4:$G$8,5,TRUE)*CPF!D38)</f>
        <v>0</v>
      </c>
      <c r="G38" s="18">
        <f>VLOOKUP(B38,'CPF Table'!$A$13:$E$23,3,TRUE)*F38</f>
        <v>0</v>
      </c>
      <c r="H38" s="18">
        <f>VLOOKUP(B38,'CPF Table'!$A$13:$E$23,4,TRUE)*CPF!F38</f>
        <v>0</v>
      </c>
      <c r="I38" s="18">
        <f>VLOOKUP(B38,'CPF Table'!$A$13:$E$23,5,TRUE)*CPF!F38</f>
        <v>0</v>
      </c>
      <c r="J38" s="103">
        <f t="shared" si="0"/>
        <v>0</v>
      </c>
      <c r="K38" s="63"/>
      <c r="L38" s="63"/>
      <c r="M38" s="63"/>
      <c r="N38" s="63"/>
      <c r="O38" s="63"/>
      <c r="P38" s="63"/>
      <c r="Q38" s="63"/>
      <c r="R38" s="63"/>
      <c r="S38" s="63"/>
      <c r="T38" s="63"/>
    </row>
    <row r="39" spans="1:20">
      <c r="A39" s="124" t="s">
        <v>93</v>
      </c>
      <c r="B39" s="125"/>
      <c r="C39" s="126">
        <v>0</v>
      </c>
      <c r="D39" s="127">
        <v>0</v>
      </c>
      <c r="E39" s="18">
        <f t="shared" si="1"/>
        <v>0</v>
      </c>
      <c r="F39" s="18">
        <f>IF(VLOOKUP(B39,'CPF Table'!$A$4:$G$8,5,TRUE)*CPF!C39&gt;=VLOOKUP(B39,'CPF Table'!$A$4:$G$8,6,TRUE),VLOOKUP(B39,'CPF Table'!$A$4:$G$8,5,TRUE)*C39+VLOOKUP(B39,'CPF Table'!$A$4:$G$8,5,TRUE)*CPF!D39,VLOOKUP(B39,'CPF Table'!$A$4:$G$8,5,TRUE)*CPF!C39+VLOOKUP(B39,'CPF Table'!$A$4:$G$8,5,TRUE)*CPF!D39)</f>
        <v>0</v>
      </c>
      <c r="G39" s="18">
        <f>VLOOKUP(B39,'CPF Table'!$A$13:$E$23,3,TRUE)*F39</f>
        <v>0</v>
      </c>
      <c r="H39" s="18">
        <f>VLOOKUP(B39,'CPF Table'!$A$13:$E$23,4,TRUE)*CPF!F39</f>
        <v>0</v>
      </c>
      <c r="I39" s="18">
        <f>VLOOKUP(B39,'CPF Table'!$A$13:$E$23,5,TRUE)*CPF!F39</f>
        <v>0</v>
      </c>
      <c r="J39" s="103">
        <f t="shared" si="0"/>
        <v>0</v>
      </c>
      <c r="K39" s="63"/>
      <c r="L39" s="63"/>
      <c r="M39" s="63"/>
      <c r="N39" s="63"/>
      <c r="O39" s="63"/>
      <c r="P39" s="63"/>
      <c r="Q39" s="63"/>
      <c r="R39" s="63"/>
      <c r="S39" s="63"/>
      <c r="T39" s="63"/>
    </row>
    <row r="40" spans="1:20">
      <c r="A40" s="124" t="s">
        <v>93</v>
      </c>
      <c r="B40" s="125"/>
      <c r="C40" s="126">
        <v>0</v>
      </c>
      <c r="D40" s="127">
        <v>0</v>
      </c>
      <c r="E40" s="18">
        <f t="shared" si="1"/>
        <v>0</v>
      </c>
      <c r="F40" s="18">
        <f>IF(VLOOKUP(B40,'CPF Table'!$A$4:$G$8,5,TRUE)*CPF!C40&gt;=VLOOKUP(B40,'CPF Table'!$A$4:$G$8,6,TRUE),VLOOKUP(B40,'CPF Table'!$A$4:$G$8,5,TRUE)*C40+VLOOKUP(B40,'CPF Table'!$A$4:$G$8,5,TRUE)*CPF!D40,VLOOKUP(B40,'CPF Table'!$A$4:$G$8,5,TRUE)*CPF!C40+VLOOKUP(B40,'CPF Table'!$A$4:$G$8,5,TRUE)*CPF!D40)</f>
        <v>0</v>
      </c>
      <c r="G40" s="18">
        <f>VLOOKUP(B40,'CPF Table'!$A$13:$E$23,3,TRUE)*F40</f>
        <v>0</v>
      </c>
      <c r="H40" s="18">
        <f>VLOOKUP(B40,'CPF Table'!$A$13:$E$23,4,TRUE)*CPF!F40</f>
        <v>0</v>
      </c>
      <c r="I40" s="18">
        <f>VLOOKUP(B40,'CPF Table'!$A$13:$E$23,5,TRUE)*CPF!F40</f>
        <v>0</v>
      </c>
      <c r="J40" s="103">
        <f t="shared" si="0"/>
        <v>0</v>
      </c>
      <c r="K40" s="63"/>
      <c r="L40" s="63"/>
      <c r="M40" s="63"/>
      <c r="N40" s="63"/>
      <c r="O40" s="63"/>
      <c r="P40" s="63"/>
      <c r="Q40" s="63"/>
      <c r="R40" s="63"/>
      <c r="S40" s="63"/>
      <c r="T40" s="63"/>
    </row>
    <row r="41" spans="1:20">
      <c r="A41" s="124" t="s">
        <v>93</v>
      </c>
      <c r="B41" s="125"/>
      <c r="C41" s="126">
        <v>0</v>
      </c>
      <c r="D41" s="127">
        <v>0</v>
      </c>
      <c r="E41" s="18">
        <f t="shared" si="1"/>
        <v>0</v>
      </c>
      <c r="F41" s="18">
        <f>IF(VLOOKUP(B41,'CPF Table'!$A$4:$G$8,5,TRUE)*CPF!C41&gt;=VLOOKUP(B41,'CPF Table'!$A$4:$G$8,6,TRUE),VLOOKUP(B41,'CPF Table'!$A$4:$G$8,5,TRUE)*C41+VLOOKUP(B41,'CPF Table'!$A$4:$G$8,5,TRUE)*CPF!D41,VLOOKUP(B41,'CPF Table'!$A$4:$G$8,5,TRUE)*CPF!C41+VLOOKUP(B41,'CPF Table'!$A$4:$G$8,5,TRUE)*CPF!D41)</f>
        <v>0</v>
      </c>
      <c r="G41" s="18">
        <f>VLOOKUP(B41,'CPF Table'!$A$13:$E$23,3,TRUE)*F41</f>
        <v>0</v>
      </c>
      <c r="H41" s="18">
        <f>VLOOKUP(B41,'CPF Table'!$A$13:$E$23,4,TRUE)*CPF!F41</f>
        <v>0</v>
      </c>
      <c r="I41" s="18">
        <f>VLOOKUP(B41,'CPF Table'!$A$13:$E$23,5,TRUE)*CPF!F41</f>
        <v>0</v>
      </c>
      <c r="J41" s="103">
        <f t="shared" si="0"/>
        <v>0</v>
      </c>
      <c r="K41" s="63"/>
      <c r="L41" s="63"/>
      <c r="M41" s="63"/>
      <c r="N41" s="63"/>
      <c r="O41" s="63"/>
      <c r="P41" s="63"/>
      <c r="Q41" s="63"/>
      <c r="R41" s="63"/>
      <c r="S41" s="63"/>
      <c r="T41" s="63"/>
    </row>
    <row r="42" spans="1:20">
      <c r="A42" s="124" t="s">
        <v>93</v>
      </c>
      <c r="B42" s="125"/>
      <c r="C42" s="126">
        <v>0</v>
      </c>
      <c r="D42" s="127">
        <v>0</v>
      </c>
      <c r="E42" s="18">
        <f t="shared" si="1"/>
        <v>0</v>
      </c>
      <c r="F42" s="18">
        <f>IF(VLOOKUP(B42,'CPF Table'!$A$4:$G$8,5,TRUE)*CPF!C42&gt;=VLOOKUP(B42,'CPF Table'!$A$4:$G$8,6,TRUE),VLOOKUP(B42,'CPF Table'!$A$4:$G$8,5,TRUE)*C42+VLOOKUP(B42,'CPF Table'!$A$4:$G$8,5,TRUE)*CPF!D42,VLOOKUP(B42,'CPF Table'!$A$4:$G$8,5,TRUE)*CPF!C42+VLOOKUP(B42,'CPF Table'!$A$4:$G$8,5,TRUE)*CPF!D42)</f>
        <v>0</v>
      </c>
      <c r="G42" s="18">
        <f>VLOOKUP(B42,'CPF Table'!$A$13:$E$23,3,TRUE)*F42</f>
        <v>0</v>
      </c>
      <c r="H42" s="18">
        <f>VLOOKUP(B42,'CPF Table'!$A$13:$E$23,4,TRUE)*CPF!F42</f>
        <v>0</v>
      </c>
      <c r="I42" s="18">
        <f>VLOOKUP(B42,'CPF Table'!$A$13:$E$23,5,TRUE)*CPF!F42</f>
        <v>0</v>
      </c>
      <c r="J42" s="103">
        <f t="shared" si="0"/>
        <v>0</v>
      </c>
      <c r="K42" s="63"/>
      <c r="L42" s="63"/>
      <c r="M42" s="63"/>
      <c r="N42" s="63"/>
      <c r="O42" s="63"/>
      <c r="P42" s="63"/>
      <c r="Q42" s="63"/>
      <c r="R42" s="63"/>
      <c r="S42" s="63"/>
      <c r="T42" s="63"/>
    </row>
    <row r="43" spans="1:20">
      <c r="A43" s="124" t="s">
        <v>93</v>
      </c>
      <c r="B43" s="125"/>
      <c r="C43" s="126">
        <v>0</v>
      </c>
      <c r="D43" s="127">
        <v>0</v>
      </c>
      <c r="E43" s="18">
        <f t="shared" si="1"/>
        <v>0</v>
      </c>
      <c r="F43" s="18">
        <f>IF(VLOOKUP(B43,'CPF Table'!$A$4:$G$8,5,TRUE)*CPF!C43&gt;=VLOOKUP(B43,'CPF Table'!$A$4:$G$8,6,TRUE),VLOOKUP(B43,'CPF Table'!$A$4:$G$8,5,TRUE)*C43+VLOOKUP(B43,'CPF Table'!$A$4:$G$8,5,TRUE)*CPF!D43,VLOOKUP(B43,'CPF Table'!$A$4:$G$8,5,TRUE)*CPF!C43+VLOOKUP(B43,'CPF Table'!$A$4:$G$8,5,TRUE)*CPF!D43)</f>
        <v>0</v>
      </c>
      <c r="G43" s="18">
        <f>VLOOKUP(B43,'CPF Table'!$A$13:$E$23,3,TRUE)*F43</f>
        <v>0</v>
      </c>
      <c r="H43" s="18">
        <f>VLOOKUP(B43,'CPF Table'!$A$13:$E$23,4,TRUE)*CPF!F43</f>
        <v>0</v>
      </c>
      <c r="I43" s="18">
        <f>VLOOKUP(B43,'CPF Table'!$A$13:$E$23,5,TRUE)*CPF!F43</f>
        <v>0</v>
      </c>
      <c r="J43" s="103">
        <f t="shared" si="0"/>
        <v>0</v>
      </c>
      <c r="K43" s="63"/>
      <c r="L43" s="63"/>
      <c r="M43" s="63"/>
      <c r="N43" s="63"/>
      <c r="O43" s="63"/>
      <c r="P43" s="63"/>
      <c r="Q43" s="63"/>
      <c r="R43" s="63"/>
      <c r="S43" s="63"/>
      <c r="T43" s="63"/>
    </row>
    <row r="44" spans="1:20">
      <c r="A44" s="124" t="s">
        <v>93</v>
      </c>
      <c r="B44" s="125"/>
      <c r="C44" s="126">
        <v>0</v>
      </c>
      <c r="D44" s="127">
        <v>0</v>
      </c>
      <c r="E44" s="18">
        <f t="shared" si="1"/>
        <v>0</v>
      </c>
      <c r="F44" s="18">
        <f>IF(VLOOKUP(B44,'CPF Table'!$A$4:$G$8,5,TRUE)*CPF!C44&gt;=VLOOKUP(B44,'CPF Table'!$A$4:$G$8,6,TRUE),VLOOKUP(B44,'CPF Table'!$A$4:$G$8,5,TRUE)*C44+VLOOKUP(B44,'CPF Table'!$A$4:$G$8,5,TRUE)*CPF!D44,VLOOKUP(B44,'CPF Table'!$A$4:$G$8,5,TRUE)*CPF!C44+VLOOKUP(B44,'CPF Table'!$A$4:$G$8,5,TRUE)*CPF!D44)</f>
        <v>0</v>
      </c>
      <c r="G44" s="18">
        <f>VLOOKUP(B44,'CPF Table'!$A$13:$E$23,3,TRUE)*F44</f>
        <v>0</v>
      </c>
      <c r="H44" s="18">
        <f>VLOOKUP(B44,'CPF Table'!$A$13:$E$23,4,TRUE)*CPF!F44</f>
        <v>0</v>
      </c>
      <c r="I44" s="18">
        <f>VLOOKUP(B44,'CPF Table'!$A$13:$E$23,5,TRUE)*CPF!F44</f>
        <v>0</v>
      </c>
      <c r="J44" s="103">
        <f t="shared" si="0"/>
        <v>0</v>
      </c>
      <c r="K44" s="63"/>
      <c r="L44" s="63"/>
      <c r="M44" s="63"/>
      <c r="N44" s="63"/>
      <c r="O44" s="63"/>
      <c r="P44" s="63"/>
      <c r="Q44" s="63"/>
      <c r="R44" s="63"/>
      <c r="S44" s="63"/>
      <c r="T44" s="63"/>
    </row>
    <row r="45" spans="1:20">
      <c r="A45" s="124" t="s">
        <v>93</v>
      </c>
      <c r="B45" s="125"/>
      <c r="C45" s="126">
        <v>0</v>
      </c>
      <c r="D45" s="127">
        <v>0</v>
      </c>
      <c r="E45" s="18">
        <f t="shared" si="1"/>
        <v>0</v>
      </c>
      <c r="F45" s="18">
        <f>IF(VLOOKUP(B45,'CPF Table'!$A$4:$G$8,5,TRUE)*CPF!C45&gt;=VLOOKUP(B45,'CPF Table'!$A$4:$G$8,6,TRUE),VLOOKUP(B45,'CPF Table'!$A$4:$G$8,5,TRUE)*C45+VLOOKUP(B45,'CPF Table'!$A$4:$G$8,5,TRUE)*CPF!D45,VLOOKUP(B45,'CPF Table'!$A$4:$G$8,5,TRUE)*CPF!C45+VLOOKUP(B45,'CPF Table'!$A$4:$G$8,5,TRUE)*CPF!D45)</f>
        <v>0</v>
      </c>
      <c r="G45" s="18">
        <f>VLOOKUP(B45,'CPF Table'!$A$13:$E$23,3,TRUE)*F45</f>
        <v>0</v>
      </c>
      <c r="H45" s="18">
        <f>VLOOKUP(B45,'CPF Table'!$A$13:$E$23,4,TRUE)*CPF!F45</f>
        <v>0</v>
      </c>
      <c r="I45" s="18">
        <f>VLOOKUP(B45,'CPF Table'!$A$13:$E$23,5,TRUE)*CPF!F45</f>
        <v>0</v>
      </c>
      <c r="J45" s="103">
        <f t="shared" si="0"/>
        <v>0</v>
      </c>
      <c r="K45" s="63"/>
      <c r="L45" s="63"/>
      <c r="M45" s="63"/>
      <c r="N45" s="63"/>
      <c r="O45" s="63"/>
      <c r="P45" s="63"/>
      <c r="Q45" s="63"/>
      <c r="R45" s="63"/>
      <c r="S45" s="63"/>
      <c r="T45" s="63"/>
    </row>
    <row r="46" spans="1:20">
      <c r="A46" s="124" t="s">
        <v>93</v>
      </c>
      <c r="B46" s="125"/>
      <c r="C46" s="126">
        <v>0</v>
      </c>
      <c r="D46" s="127">
        <v>0</v>
      </c>
      <c r="E46" s="18">
        <f t="shared" si="1"/>
        <v>0</v>
      </c>
      <c r="F46" s="18">
        <f>IF(VLOOKUP(B46,'CPF Table'!$A$4:$G$8,5,TRUE)*CPF!C46&gt;=VLOOKUP(B46,'CPF Table'!$A$4:$G$8,6,TRUE),VLOOKUP(B46,'CPF Table'!$A$4:$G$8,5,TRUE)*C46+VLOOKUP(B46,'CPF Table'!$A$4:$G$8,5,TRUE)*CPF!D46,VLOOKUP(B46,'CPF Table'!$A$4:$G$8,5,TRUE)*CPF!C46+VLOOKUP(B46,'CPF Table'!$A$4:$G$8,5,TRUE)*CPF!D46)</f>
        <v>0</v>
      </c>
      <c r="G46" s="18">
        <f>VLOOKUP(B46,'CPF Table'!$A$13:$E$23,3,TRUE)*F46</f>
        <v>0</v>
      </c>
      <c r="H46" s="18">
        <f>VLOOKUP(B46,'CPF Table'!$A$13:$E$23,4,TRUE)*CPF!F46</f>
        <v>0</v>
      </c>
      <c r="I46" s="18">
        <f>VLOOKUP(B46,'CPF Table'!$A$13:$E$23,5,TRUE)*CPF!F46</f>
        <v>0</v>
      </c>
      <c r="J46" s="103">
        <f t="shared" si="0"/>
        <v>0</v>
      </c>
      <c r="K46" s="63"/>
      <c r="L46" s="63"/>
      <c r="M46" s="63"/>
      <c r="N46" s="63"/>
      <c r="O46" s="63"/>
      <c r="P46" s="63"/>
      <c r="Q46" s="63"/>
      <c r="R46" s="63"/>
      <c r="S46" s="63"/>
      <c r="T46" s="63"/>
    </row>
    <row r="47" spans="1:20">
      <c r="A47" s="124" t="s">
        <v>93</v>
      </c>
      <c r="B47" s="125"/>
      <c r="C47" s="126">
        <v>0</v>
      </c>
      <c r="D47" s="127">
        <v>0</v>
      </c>
      <c r="E47" s="18">
        <f t="shared" si="1"/>
        <v>0</v>
      </c>
      <c r="F47" s="18">
        <f>IF(VLOOKUP(B47,'CPF Table'!$A$4:$G$8,5,TRUE)*CPF!C47&gt;=VLOOKUP(B47,'CPF Table'!$A$4:$G$8,6,TRUE),VLOOKUP(B47,'CPF Table'!$A$4:$G$8,5,TRUE)*C47+VLOOKUP(B47,'CPF Table'!$A$4:$G$8,5,TRUE)*CPF!D47,VLOOKUP(B47,'CPF Table'!$A$4:$G$8,5,TRUE)*CPF!C47+VLOOKUP(B47,'CPF Table'!$A$4:$G$8,5,TRUE)*CPF!D47)</f>
        <v>0</v>
      </c>
      <c r="G47" s="18">
        <f>VLOOKUP(B47,'CPF Table'!$A$13:$E$23,3,TRUE)*F47</f>
        <v>0</v>
      </c>
      <c r="H47" s="18">
        <f>VLOOKUP(B47,'CPF Table'!$A$13:$E$23,4,TRUE)*CPF!F47</f>
        <v>0</v>
      </c>
      <c r="I47" s="18">
        <f>VLOOKUP(B47,'CPF Table'!$A$13:$E$23,5,TRUE)*CPF!F47</f>
        <v>0</v>
      </c>
      <c r="J47" s="103">
        <f t="shared" si="0"/>
        <v>0</v>
      </c>
      <c r="K47" s="63"/>
      <c r="L47" s="63"/>
      <c r="M47" s="63"/>
      <c r="N47" s="63"/>
      <c r="O47" s="63"/>
      <c r="P47" s="63"/>
      <c r="Q47" s="63"/>
      <c r="R47" s="63"/>
      <c r="S47" s="63"/>
      <c r="T47" s="63"/>
    </row>
    <row r="48" spans="1:20">
      <c r="A48" s="124" t="s">
        <v>93</v>
      </c>
      <c r="B48" s="125"/>
      <c r="C48" s="126">
        <v>0</v>
      </c>
      <c r="D48" s="127">
        <v>0</v>
      </c>
      <c r="E48" s="18">
        <f t="shared" si="1"/>
        <v>0</v>
      </c>
      <c r="F48" s="18">
        <f>IF(VLOOKUP(B48,'CPF Table'!$A$4:$G$8,5,TRUE)*CPF!C48&gt;=VLOOKUP(B48,'CPF Table'!$A$4:$G$8,6,TRUE),VLOOKUP(B48,'CPF Table'!$A$4:$G$8,5,TRUE)*C48+VLOOKUP(B48,'CPF Table'!$A$4:$G$8,5,TRUE)*CPF!D48,VLOOKUP(B48,'CPF Table'!$A$4:$G$8,5,TRUE)*CPF!C48+VLOOKUP(B48,'CPF Table'!$A$4:$G$8,5,TRUE)*CPF!D48)</f>
        <v>0</v>
      </c>
      <c r="G48" s="18">
        <f>VLOOKUP(B48,'CPF Table'!$A$13:$E$23,3,TRUE)*F48</f>
        <v>0</v>
      </c>
      <c r="H48" s="18">
        <f>VLOOKUP(B48,'CPF Table'!$A$13:$E$23,4,TRUE)*CPF!F48</f>
        <v>0</v>
      </c>
      <c r="I48" s="18">
        <f>VLOOKUP(B48,'CPF Table'!$A$13:$E$23,5,TRUE)*CPF!F48</f>
        <v>0</v>
      </c>
      <c r="J48" s="103">
        <f t="shared" si="0"/>
        <v>0</v>
      </c>
      <c r="K48" s="63"/>
      <c r="L48" s="63"/>
      <c r="M48" s="63"/>
      <c r="N48" s="63"/>
      <c r="O48" s="63"/>
      <c r="P48" s="63"/>
      <c r="Q48" s="63"/>
      <c r="R48" s="63"/>
      <c r="S48" s="63"/>
      <c r="T48" s="63"/>
    </row>
    <row r="49" spans="1:20">
      <c r="A49" s="124" t="s">
        <v>93</v>
      </c>
      <c r="B49" s="125"/>
      <c r="C49" s="126">
        <v>0</v>
      </c>
      <c r="D49" s="127">
        <v>0</v>
      </c>
      <c r="E49" s="18">
        <f t="shared" si="1"/>
        <v>0</v>
      </c>
      <c r="F49" s="18">
        <f>IF(VLOOKUP(B49,'CPF Table'!$A$4:$G$8,5,TRUE)*CPF!C49&gt;=VLOOKUP(B49,'CPF Table'!$A$4:$G$8,6,TRUE),VLOOKUP(B49,'CPF Table'!$A$4:$G$8,5,TRUE)*C49+VLOOKUP(B49,'CPF Table'!$A$4:$G$8,5,TRUE)*CPF!D49,VLOOKUP(B49,'CPF Table'!$A$4:$G$8,5,TRUE)*CPF!C49+VLOOKUP(B49,'CPF Table'!$A$4:$G$8,5,TRUE)*CPF!D49)</f>
        <v>0</v>
      </c>
      <c r="G49" s="18">
        <f>VLOOKUP(B49,'CPF Table'!$A$13:$E$23,3,TRUE)*F49</f>
        <v>0</v>
      </c>
      <c r="H49" s="18">
        <f>VLOOKUP(B49,'CPF Table'!$A$13:$E$23,4,TRUE)*CPF!F49</f>
        <v>0</v>
      </c>
      <c r="I49" s="18">
        <f>VLOOKUP(B49,'CPF Table'!$A$13:$E$23,5,TRUE)*CPF!F49</f>
        <v>0</v>
      </c>
      <c r="J49" s="103">
        <f t="shared" si="0"/>
        <v>0</v>
      </c>
      <c r="K49" s="63"/>
      <c r="L49" s="63"/>
      <c r="M49" s="63"/>
      <c r="N49" s="63"/>
      <c r="O49" s="63"/>
      <c r="P49" s="63"/>
      <c r="Q49" s="63"/>
      <c r="R49" s="63"/>
      <c r="S49" s="63"/>
      <c r="T49" s="63"/>
    </row>
    <row r="50" spans="1:20">
      <c r="A50" s="124" t="s">
        <v>93</v>
      </c>
      <c r="B50" s="125"/>
      <c r="C50" s="126">
        <v>0</v>
      </c>
      <c r="D50" s="127">
        <v>0</v>
      </c>
      <c r="E50" s="18">
        <f t="shared" si="1"/>
        <v>0</v>
      </c>
      <c r="F50" s="18">
        <f>IF(VLOOKUP(B50,'CPF Table'!$A$4:$G$8,5,TRUE)*CPF!C50&gt;=VLOOKUP(B50,'CPF Table'!$A$4:$G$8,6,TRUE),VLOOKUP(B50,'CPF Table'!$A$4:$G$8,5,TRUE)*C50+VLOOKUP(B50,'CPF Table'!$A$4:$G$8,5,TRUE)*CPF!D50,VLOOKUP(B50,'CPF Table'!$A$4:$G$8,5,TRUE)*CPF!C50+VLOOKUP(B50,'CPF Table'!$A$4:$G$8,5,TRUE)*CPF!D50)</f>
        <v>0</v>
      </c>
      <c r="G50" s="18">
        <f>VLOOKUP(B50,'CPF Table'!$A$13:$E$23,3,TRUE)*F50</f>
        <v>0</v>
      </c>
      <c r="H50" s="18">
        <f>VLOOKUP(B50,'CPF Table'!$A$13:$E$23,4,TRUE)*CPF!F50</f>
        <v>0</v>
      </c>
      <c r="I50" s="18">
        <f>VLOOKUP(B50,'CPF Table'!$A$13:$E$23,5,TRUE)*CPF!F50</f>
        <v>0</v>
      </c>
      <c r="J50" s="103">
        <f t="shared" si="0"/>
        <v>0</v>
      </c>
      <c r="K50" s="63"/>
      <c r="L50" s="63"/>
      <c r="M50" s="63"/>
      <c r="N50" s="63"/>
      <c r="O50" s="63"/>
      <c r="P50" s="63"/>
      <c r="Q50" s="63"/>
      <c r="R50" s="63"/>
      <c r="S50" s="63"/>
      <c r="T50" s="63"/>
    </row>
    <row r="51" spans="1:20">
      <c r="A51" s="124" t="s">
        <v>93</v>
      </c>
      <c r="B51" s="125"/>
      <c r="C51" s="126">
        <v>0</v>
      </c>
      <c r="D51" s="127">
        <v>0</v>
      </c>
      <c r="E51" s="18">
        <f t="shared" si="1"/>
        <v>0</v>
      </c>
      <c r="F51" s="18">
        <f>IF(VLOOKUP(B51,'CPF Table'!$A$4:$G$8,5,TRUE)*CPF!C51&gt;=VLOOKUP(B51,'CPF Table'!$A$4:$G$8,6,TRUE),VLOOKUP(B51,'CPF Table'!$A$4:$G$8,5,TRUE)*C51+VLOOKUP(B51,'CPF Table'!$A$4:$G$8,5,TRUE)*CPF!D51,VLOOKUP(B51,'CPF Table'!$A$4:$G$8,5,TRUE)*CPF!C51+VLOOKUP(B51,'CPF Table'!$A$4:$G$8,5,TRUE)*CPF!D51)</f>
        <v>0</v>
      </c>
      <c r="G51" s="18">
        <f>VLOOKUP(B51,'CPF Table'!$A$13:$E$23,3,TRUE)*F51</f>
        <v>0</v>
      </c>
      <c r="H51" s="18">
        <f>VLOOKUP(B51,'CPF Table'!$A$13:$E$23,4,TRUE)*CPF!F51</f>
        <v>0</v>
      </c>
      <c r="I51" s="18">
        <f>VLOOKUP(B51,'CPF Table'!$A$13:$E$23,5,TRUE)*CPF!F51</f>
        <v>0</v>
      </c>
      <c r="J51" s="103">
        <f t="shared" si="0"/>
        <v>0</v>
      </c>
      <c r="K51" s="63"/>
      <c r="L51" s="63"/>
      <c r="M51" s="63"/>
      <c r="N51" s="63"/>
      <c r="O51" s="63"/>
      <c r="P51" s="63"/>
      <c r="Q51" s="63"/>
      <c r="R51" s="63"/>
      <c r="S51" s="63"/>
      <c r="T51" s="63"/>
    </row>
    <row r="52" spans="1:20">
      <c r="A52" s="124" t="s">
        <v>93</v>
      </c>
      <c r="B52" s="125"/>
      <c r="C52" s="126">
        <v>0</v>
      </c>
      <c r="D52" s="127">
        <v>0</v>
      </c>
      <c r="E52" s="18">
        <f t="shared" si="1"/>
        <v>0</v>
      </c>
      <c r="F52" s="18">
        <f>IF(VLOOKUP(B52,'CPF Table'!$A$4:$G$8,5,TRUE)*CPF!C52&gt;=VLOOKUP(B52,'CPF Table'!$A$4:$G$8,6,TRUE),VLOOKUP(B52,'CPF Table'!$A$4:$G$8,5,TRUE)*C52+VLOOKUP(B52,'CPF Table'!$A$4:$G$8,5,TRUE)*CPF!D52,VLOOKUP(B52,'CPF Table'!$A$4:$G$8,5,TRUE)*CPF!C52+VLOOKUP(B52,'CPF Table'!$A$4:$G$8,5,TRUE)*CPF!D52)</f>
        <v>0</v>
      </c>
      <c r="G52" s="18">
        <f>VLOOKUP(B52,'CPF Table'!$A$13:$E$23,3,TRUE)*F52</f>
        <v>0</v>
      </c>
      <c r="H52" s="18">
        <f>VLOOKUP(B52,'CPF Table'!$A$13:$E$23,4,TRUE)*CPF!F52</f>
        <v>0</v>
      </c>
      <c r="I52" s="18">
        <f>VLOOKUP(B52,'CPF Table'!$A$13:$E$23,5,TRUE)*CPF!F52</f>
        <v>0</v>
      </c>
      <c r="J52" s="103">
        <f t="shared" si="0"/>
        <v>0</v>
      </c>
      <c r="K52" s="63"/>
      <c r="L52" s="63"/>
      <c r="M52" s="63"/>
      <c r="N52" s="63"/>
      <c r="O52" s="63"/>
      <c r="P52" s="63"/>
      <c r="Q52" s="63"/>
      <c r="R52" s="63"/>
      <c r="S52" s="63"/>
      <c r="T52" s="63"/>
    </row>
    <row r="53" spans="1:20">
      <c r="A53" s="124" t="s">
        <v>93</v>
      </c>
      <c r="B53" s="125"/>
      <c r="C53" s="126">
        <v>0</v>
      </c>
      <c r="D53" s="127">
        <v>0</v>
      </c>
      <c r="E53" s="18">
        <f t="shared" si="1"/>
        <v>0</v>
      </c>
      <c r="F53" s="18">
        <f>IF(VLOOKUP(B53,'CPF Table'!$A$4:$G$8,5,TRUE)*CPF!C53&gt;=VLOOKUP(B53,'CPF Table'!$A$4:$G$8,6,TRUE),VLOOKUP(B53,'CPF Table'!$A$4:$G$8,5,TRUE)*C53+VLOOKUP(B53,'CPF Table'!$A$4:$G$8,5,TRUE)*CPF!D53,VLOOKUP(B53,'CPF Table'!$A$4:$G$8,5,TRUE)*CPF!C53+VLOOKUP(B53,'CPF Table'!$A$4:$G$8,5,TRUE)*CPF!D53)</f>
        <v>0</v>
      </c>
      <c r="G53" s="18">
        <f>VLOOKUP(B53,'CPF Table'!$A$13:$E$23,3,TRUE)*F53</f>
        <v>0</v>
      </c>
      <c r="H53" s="18">
        <f>VLOOKUP(B53,'CPF Table'!$A$13:$E$23,4,TRUE)*CPF!F53</f>
        <v>0</v>
      </c>
      <c r="I53" s="18">
        <f>VLOOKUP(B53,'CPF Table'!$A$13:$E$23,5,TRUE)*CPF!F53</f>
        <v>0</v>
      </c>
      <c r="J53" s="103">
        <f t="shared" si="0"/>
        <v>0</v>
      </c>
      <c r="K53" s="63"/>
      <c r="L53" s="63"/>
      <c r="M53" s="63"/>
      <c r="N53" s="63"/>
      <c r="O53" s="63"/>
      <c r="P53" s="63"/>
      <c r="Q53" s="63"/>
      <c r="R53" s="63"/>
      <c r="S53" s="63"/>
      <c r="T53" s="63"/>
    </row>
    <row r="54" spans="1:20">
      <c r="A54" s="128" t="s">
        <v>93</v>
      </c>
      <c r="B54" s="129"/>
      <c r="C54" s="126">
        <v>0</v>
      </c>
      <c r="D54" s="127">
        <v>0</v>
      </c>
      <c r="E54" s="82">
        <f t="shared" si="1"/>
        <v>0</v>
      </c>
      <c r="F54" s="18">
        <f>IF(VLOOKUP(B54,'CPF Table'!$A$4:$G$8,5,TRUE)*CPF!C54&gt;=VLOOKUP(B54,'CPF Table'!$A$4:$G$8,6,TRUE),VLOOKUP(B54,'CPF Table'!$A$4:$G$8,5,TRUE)*C54+VLOOKUP(B54,'CPF Table'!$A$4:$G$8,5,TRUE)*CPF!D54,VLOOKUP(B54,'CPF Table'!$A$4:$G$8,5,TRUE)*CPF!C54+VLOOKUP(B54,'CPF Table'!$A$4:$G$8,5,TRUE)*CPF!D54)</f>
        <v>0</v>
      </c>
      <c r="G54" s="18">
        <f>VLOOKUP(B54,'CPF Table'!$A$13:$E$23,3,TRUE)*F54</f>
        <v>0</v>
      </c>
      <c r="H54" s="18">
        <f>VLOOKUP(B54,'CPF Table'!$A$13:$E$23,4,TRUE)*CPF!F54</f>
        <v>0</v>
      </c>
      <c r="I54" s="18">
        <f>VLOOKUP(B54,'CPF Table'!$A$13:$E$23,5,TRUE)*CPF!F54</f>
        <v>0</v>
      </c>
      <c r="J54" s="103">
        <f t="shared" si="0"/>
        <v>0</v>
      </c>
      <c r="K54" s="63"/>
      <c r="L54" s="63"/>
      <c r="M54" s="63"/>
      <c r="N54" s="63"/>
      <c r="O54" s="63"/>
      <c r="P54" s="63"/>
      <c r="Q54" s="63"/>
      <c r="R54" s="63"/>
      <c r="S54" s="63"/>
      <c r="T54" s="63"/>
    </row>
    <row r="55" spans="1:20">
      <c r="A55" s="130"/>
      <c r="B55" s="131"/>
      <c r="C55" s="126">
        <v>0</v>
      </c>
      <c r="D55" s="127">
        <v>0</v>
      </c>
      <c r="E55" s="82">
        <f t="shared" si="1"/>
        <v>0</v>
      </c>
      <c r="F55" s="18">
        <f>IF(VLOOKUP(B55,'CPF Table'!$A$4:$G$8,5,TRUE)*CPF!C55&gt;=VLOOKUP(B55,'CPF Table'!$A$4:$G$8,6,TRUE),VLOOKUP(B55,'CPF Table'!$A$4:$G$8,5,TRUE)*C55+VLOOKUP(B55,'CPF Table'!$A$4:$G$8,5,TRUE)*CPF!D55,VLOOKUP(B55,'CPF Table'!$A$4:$G$8,5,TRUE)*CPF!C55+VLOOKUP(B55,'CPF Table'!$A$4:$G$8,5,TRUE)*CPF!D55)</f>
        <v>0</v>
      </c>
      <c r="G55" s="18">
        <f>VLOOKUP(B55,'CPF Table'!$A$13:$E$23,3,TRUE)*F55</f>
        <v>0</v>
      </c>
      <c r="H55" s="18">
        <f>VLOOKUP(B55,'CPF Table'!$A$13:$E$23,4,TRUE)*CPF!F55</f>
        <v>0</v>
      </c>
      <c r="I55" s="18">
        <f>VLOOKUP(B55,'CPF Table'!$A$13:$E$23,5,TRUE)*CPF!F55</f>
        <v>0</v>
      </c>
      <c r="J55" s="103">
        <f t="shared" si="0"/>
        <v>0</v>
      </c>
      <c r="K55" s="63"/>
      <c r="L55" s="63"/>
      <c r="M55" s="63"/>
      <c r="N55" s="63"/>
      <c r="O55" s="63"/>
      <c r="P55" s="63"/>
      <c r="Q55" s="63"/>
      <c r="R55" s="63"/>
      <c r="S55" s="63"/>
      <c r="T55" s="63"/>
    </row>
    <row r="56" spans="1:20">
      <c r="A56" s="130"/>
      <c r="B56" s="131"/>
      <c r="C56" s="126">
        <v>0</v>
      </c>
      <c r="D56" s="127">
        <v>0</v>
      </c>
      <c r="E56" s="82">
        <f t="shared" si="1"/>
        <v>0</v>
      </c>
      <c r="F56" s="18">
        <f>IF(VLOOKUP(B56,'CPF Table'!$A$4:$G$8,5,TRUE)*CPF!C56&gt;=VLOOKUP(B56,'CPF Table'!$A$4:$G$8,6,TRUE),VLOOKUP(B56,'CPF Table'!$A$4:$G$8,5,TRUE)*C56+VLOOKUP(B56,'CPF Table'!$A$4:$G$8,5,TRUE)*CPF!D56,VLOOKUP(B56,'CPF Table'!$A$4:$G$8,5,TRUE)*CPF!C56+VLOOKUP(B56,'CPF Table'!$A$4:$G$8,5,TRUE)*CPF!D56)</f>
        <v>0</v>
      </c>
      <c r="G56" s="18">
        <f>VLOOKUP(B56,'CPF Table'!$A$13:$E$23,3,TRUE)*F56</f>
        <v>0</v>
      </c>
      <c r="H56" s="18">
        <f>VLOOKUP(B56,'CPF Table'!$A$13:$E$23,4,TRUE)*CPF!F56</f>
        <v>0</v>
      </c>
      <c r="I56" s="18">
        <f>VLOOKUP(B56,'CPF Table'!$A$13:$E$23,5,TRUE)*CPF!F56</f>
        <v>0</v>
      </c>
      <c r="J56" s="103">
        <f t="shared" si="0"/>
        <v>0</v>
      </c>
      <c r="K56" s="63"/>
      <c r="L56" s="63"/>
      <c r="M56" s="63"/>
      <c r="N56" s="63"/>
      <c r="O56" s="63"/>
      <c r="P56" s="63"/>
      <c r="Q56" s="63"/>
      <c r="R56" s="63"/>
      <c r="S56" s="63"/>
      <c r="T56" s="63"/>
    </row>
    <row r="57" spans="1:20">
      <c r="A57" s="130"/>
      <c r="B57" s="131"/>
      <c r="C57" s="126">
        <v>0</v>
      </c>
      <c r="D57" s="127">
        <v>0</v>
      </c>
      <c r="E57" s="82">
        <f t="shared" si="1"/>
        <v>0</v>
      </c>
      <c r="F57" s="18">
        <f>IF(VLOOKUP(B57,'CPF Table'!$A$4:$G$8,5,TRUE)*CPF!C57&gt;=VLOOKUP(B57,'CPF Table'!$A$4:$G$8,6,TRUE),VLOOKUP(B57,'CPF Table'!$A$4:$G$8,5,TRUE)*C57+VLOOKUP(B57,'CPF Table'!$A$4:$G$8,5,TRUE)*CPF!D57,VLOOKUP(B57,'CPF Table'!$A$4:$G$8,5,TRUE)*CPF!C57+VLOOKUP(B57,'CPF Table'!$A$4:$G$8,5,TRUE)*CPF!D57)</f>
        <v>0</v>
      </c>
      <c r="G57" s="18">
        <f>VLOOKUP(B57,'CPF Table'!$A$13:$E$23,3,TRUE)*F57</f>
        <v>0</v>
      </c>
      <c r="H57" s="18">
        <f>VLOOKUP(B57,'CPF Table'!$A$13:$E$23,4,TRUE)*CPF!F57</f>
        <v>0</v>
      </c>
      <c r="I57" s="18">
        <f>VLOOKUP(B57,'CPF Table'!$A$13:$E$23,5,TRUE)*CPF!F57</f>
        <v>0</v>
      </c>
      <c r="J57" s="103">
        <f t="shared" si="0"/>
        <v>0</v>
      </c>
      <c r="K57" s="63"/>
      <c r="L57" s="63"/>
      <c r="M57" s="63"/>
      <c r="N57" s="63"/>
      <c r="O57" s="63"/>
      <c r="P57" s="63"/>
      <c r="Q57" s="63"/>
      <c r="R57" s="63"/>
      <c r="S57" s="63"/>
      <c r="T57" s="63"/>
    </row>
    <row r="58" spans="1:20">
      <c r="A58" s="130"/>
      <c r="B58" s="131"/>
      <c r="C58" s="126">
        <v>0</v>
      </c>
      <c r="D58" s="127">
        <v>0</v>
      </c>
      <c r="E58" s="82">
        <f t="shared" si="1"/>
        <v>0</v>
      </c>
      <c r="F58" s="18">
        <f>IF(VLOOKUP(B58,'CPF Table'!$A$4:$G$8,5,TRUE)*CPF!C58&gt;=VLOOKUP(B58,'CPF Table'!$A$4:$G$8,6,TRUE),VLOOKUP(B58,'CPF Table'!$A$4:$G$8,5,TRUE)*C58+VLOOKUP(B58,'CPF Table'!$A$4:$G$8,5,TRUE)*CPF!D58,VLOOKUP(B58,'CPF Table'!$A$4:$G$8,5,TRUE)*CPF!C58+VLOOKUP(B58,'CPF Table'!$A$4:$G$8,5,TRUE)*CPF!D58)</f>
        <v>0</v>
      </c>
      <c r="G58" s="18">
        <f>VLOOKUP(B58,'CPF Table'!$A$13:$E$23,3,TRUE)*F58</f>
        <v>0</v>
      </c>
      <c r="H58" s="18">
        <f>VLOOKUP(B58,'CPF Table'!$A$13:$E$23,4,TRUE)*CPF!F58</f>
        <v>0</v>
      </c>
      <c r="I58" s="18">
        <f>VLOOKUP(B58,'CPF Table'!$A$13:$E$23,5,TRUE)*CPF!F58</f>
        <v>0</v>
      </c>
      <c r="J58" s="103">
        <f t="shared" si="0"/>
        <v>0</v>
      </c>
      <c r="K58" s="63"/>
      <c r="L58" s="63"/>
      <c r="M58" s="63"/>
      <c r="N58" s="63"/>
      <c r="O58" s="63"/>
      <c r="P58" s="63"/>
      <c r="Q58" s="63"/>
      <c r="R58" s="63"/>
      <c r="S58" s="63"/>
      <c r="T58" s="63"/>
    </row>
    <row r="59" spans="1:20">
      <c r="A59" s="130"/>
      <c r="B59" s="131"/>
      <c r="C59" s="126">
        <v>0</v>
      </c>
      <c r="D59" s="127">
        <v>0</v>
      </c>
      <c r="E59" s="82">
        <f t="shared" si="1"/>
        <v>0</v>
      </c>
      <c r="F59" s="18">
        <f>IF(VLOOKUP(B59,'CPF Table'!$A$4:$G$8,5,TRUE)*CPF!C59&gt;=VLOOKUP(B59,'CPF Table'!$A$4:$G$8,6,TRUE),VLOOKUP(B59,'CPF Table'!$A$4:$G$8,5,TRUE)*C59+VLOOKUP(B59,'CPF Table'!$A$4:$G$8,5,TRUE)*CPF!D59,VLOOKUP(B59,'CPF Table'!$A$4:$G$8,5,TRUE)*CPF!C59+VLOOKUP(B59,'CPF Table'!$A$4:$G$8,5,TRUE)*CPF!D59)</f>
        <v>0</v>
      </c>
      <c r="G59" s="18">
        <f>VLOOKUP(B59,'CPF Table'!$A$13:$E$23,3,TRUE)*F59</f>
        <v>0</v>
      </c>
      <c r="H59" s="18">
        <f>VLOOKUP(B59,'CPF Table'!$A$13:$E$23,4,TRUE)*CPF!F59</f>
        <v>0</v>
      </c>
      <c r="I59" s="18">
        <f>VLOOKUP(B59,'CPF Table'!$A$13:$E$23,5,TRUE)*CPF!F59</f>
        <v>0</v>
      </c>
      <c r="J59" s="103">
        <f t="shared" si="0"/>
        <v>0</v>
      </c>
    </row>
    <row r="60" spans="1:20">
      <c r="A60" s="130"/>
      <c r="B60" s="131"/>
      <c r="C60" s="126">
        <v>0</v>
      </c>
      <c r="D60" s="127">
        <v>0</v>
      </c>
      <c r="E60" s="82">
        <f t="shared" si="1"/>
        <v>0</v>
      </c>
      <c r="F60" s="18">
        <f>IF(VLOOKUP(B60,'CPF Table'!$A$4:$G$8,5,TRUE)*CPF!C60&gt;=VLOOKUP(B60,'CPF Table'!$A$4:$G$8,6,TRUE),VLOOKUP(B60,'CPF Table'!$A$4:$G$8,5,TRUE)*C60+VLOOKUP(B60,'CPF Table'!$A$4:$G$8,5,TRUE)*CPF!D60,VLOOKUP(B60,'CPF Table'!$A$4:$G$8,5,TRUE)*CPF!C60+VLOOKUP(B60,'CPF Table'!$A$4:$G$8,5,TRUE)*CPF!D60)</f>
        <v>0</v>
      </c>
      <c r="G60" s="18">
        <f>VLOOKUP(B60,'CPF Table'!$A$13:$E$23,3,TRUE)*F60</f>
        <v>0</v>
      </c>
      <c r="H60" s="18">
        <f>VLOOKUP(B60,'CPF Table'!$A$13:$E$23,4,TRUE)*CPF!F60</f>
        <v>0</v>
      </c>
      <c r="I60" s="18">
        <f>VLOOKUP(B60,'CPF Table'!$A$13:$E$23,5,TRUE)*CPF!F60</f>
        <v>0</v>
      </c>
      <c r="J60" s="103">
        <f t="shared" si="0"/>
        <v>0</v>
      </c>
    </row>
    <row r="61" spans="1:20">
      <c r="A61" s="130"/>
      <c r="B61" s="131"/>
      <c r="C61" s="126">
        <v>0</v>
      </c>
      <c r="D61" s="127">
        <v>0</v>
      </c>
      <c r="E61" s="82">
        <f t="shared" si="1"/>
        <v>0</v>
      </c>
      <c r="F61" s="18">
        <f>IF(VLOOKUP(B61,'CPF Table'!$A$4:$G$8,5,TRUE)*CPF!C61&gt;=VLOOKUP(B61,'CPF Table'!$A$4:$G$8,6,TRUE),VLOOKUP(B61,'CPF Table'!$A$4:$G$8,5,TRUE)*C61+VLOOKUP(B61,'CPF Table'!$A$4:$G$8,5,TRUE)*CPF!D61,VLOOKUP(B61,'CPF Table'!$A$4:$G$8,5,TRUE)*CPF!C61+VLOOKUP(B61,'CPF Table'!$A$4:$G$8,5,TRUE)*CPF!D61)</f>
        <v>0</v>
      </c>
      <c r="G61" s="18">
        <f>VLOOKUP(B61,'CPF Table'!$A$13:$E$23,3,TRUE)*F61</f>
        <v>0</v>
      </c>
      <c r="H61" s="18">
        <f>VLOOKUP(B61,'CPF Table'!$A$13:$E$23,4,TRUE)*CPF!F61</f>
        <v>0</v>
      </c>
      <c r="I61" s="18">
        <f>VLOOKUP(B61,'CPF Table'!$A$13:$E$23,5,TRUE)*CPF!F61</f>
        <v>0</v>
      </c>
      <c r="J61" s="103">
        <f t="shared" si="0"/>
        <v>0</v>
      </c>
    </row>
    <row r="62" spans="1:20">
      <c r="A62" s="130"/>
      <c r="B62" s="131"/>
      <c r="C62" s="126">
        <v>0</v>
      </c>
      <c r="D62" s="127">
        <v>0</v>
      </c>
      <c r="E62" s="82">
        <f t="shared" si="1"/>
        <v>0</v>
      </c>
      <c r="F62" s="18">
        <f>IF(VLOOKUP(B62,'CPF Table'!$A$4:$G$8,5,TRUE)*CPF!C62&gt;=VLOOKUP(B62,'CPF Table'!$A$4:$G$8,6,TRUE),VLOOKUP(B62,'CPF Table'!$A$4:$G$8,5,TRUE)*C62+VLOOKUP(B62,'CPF Table'!$A$4:$G$8,5,TRUE)*CPF!D62,VLOOKUP(B62,'CPF Table'!$A$4:$G$8,5,TRUE)*CPF!C62+VLOOKUP(B62,'CPF Table'!$A$4:$G$8,5,TRUE)*CPF!D62)</f>
        <v>0</v>
      </c>
      <c r="G62" s="18">
        <f>VLOOKUP(B62,'CPF Table'!$A$13:$E$23,3,TRUE)*F62</f>
        <v>0</v>
      </c>
      <c r="H62" s="18">
        <f>VLOOKUP(B62,'CPF Table'!$A$13:$E$23,4,TRUE)*CPF!F62</f>
        <v>0</v>
      </c>
      <c r="I62" s="18">
        <f>VLOOKUP(B62,'CPF Table'!$A$13:$E$23,5,TRUE)*CPF!F62</f>
        <v>0</v>
      </c>
      <c r="J62" s="103">
        <f t="shared" si="0"/>
        <v>0</v>
      </c>
    </row>
    <row r="63" spans="1:20">
      <c r="A63" s="130"/>
      <c r="B63" s="131"/>
      <c r="C63" s="126">
        <v>0</v>
      </c>
      <c r="D63" s="127">
        <v>0</v>
      </c>
      <c r="E63" s="82">
        <f t="shared" si="1"/>
        <v>0</v>
      </c>
      <c r="F63" s="18">
        <f>IF(VLOOKUP(B63,'CPF Table'!$A$4:$G$8,5,TRUE)*CPF!C63&gt;=VLOOKUP(B63,'CPF Table'!$A$4:$G$8,6,TRUE),VLOOKUP(B63,'CPF Table'!$A$4:$G$8,5,TRUE)*C63+VLOOKUP(B63,'CPF Table'!$A$4:$G$8,5,TRUE)*CPF!D63,VLOOKUP(B63,'CPF Table'!$A$4:$G$8,5,TRUE)*CPF!C63+VLOOKUP(B63,'CPF Table'!$A$4:$G$8,5,TRUE)*CPF!D63)</f>
        <v>0</v>
      </c>
      <c r="G63" s="18">
        <f>VLOOKUP(B63,'CPF Table'!$A$13:$E$23,3,TRUE)*F63</f>
        <v>0</v>
      </c>
      <c r="H63" s="18">
        <f>VLOOKUP(B63,'CPF Table'!$A$13:$E$23,4,TRUE)*CPF!F63</f>
        <v>0</v>
      </c>
      <c r="I63" s="18">
        <f>VLOOKUP(B63,'CPF Table'!$A$13:$E$23,5,TRUE)*CPF!F63</f>
        <v>0</v>
      </c>
      <c r="J63" s="103">
        <f t="shared" si="0"/>
        <v>0</v>
      </c>
    </row>
    <row r="64" spans="1:20">
      <c r="A64" s="130"/>
      <c r="B64" s="131"/>
      <c r="C64" s="126">
        <v>0</v>
      </c>
      <c r="D64" s="127">
        <v>0</v>
      </c>
      <c r="E64" s="82">
        <f t="shared" si="1"/>
        <v>0</v>
      </c>
      <c r="F64" s="18">
        <f>IF(VLOOKUP(B64,'CPF Table'!$A$4:$G$8,5,TRUE)*CPF!C64&gt;=VLOOKUP(B64,'CPF Table'!$A$4:$G$8,6,TRUE),VLOOKUP(B64,'CPF Table'!$A$4:$G$8,5,TRUE)*C64+VLOOKUP(B64,'CPF Table'!$A$4:$G$8,5,TRUE)*CPF!D64,VLOOKUP(B64,'CPF Table'!$A$4:$G$8,5,TRUE)*CPF!C64+VLOOKUP(B64,'CPF Table'!$A$4:$G$8,5,TRUE)*CPF!D64)</f>
        <v>0</v>
      </c>
      <c r="G64" s="18">
        <f>VLOOKUP(B64,'CPF Table'!$A$13:$E$23,3,TRUE)*F64</f>
        <v>0</v>
      </c>
      <c r="H64" s="18">
        <f>VLOOKUP(B64,'CPF Table'!$A$13:$E$23,4,TRUE)*CPF!F64</f>
        <v>0</v>
      </c>
      <c r="I64" s="18">
        <f>VLOOKUP(B64,'CPF Table'!$A$13:$E$23,5,TRUE)*CPF!F64</f>
        <v>0</v>
      </c>
      <c r="J64" s="103">
        <f t="shared" si="0"/>
        <v>0</v>
      </c>
    </row>
    <row r="65" spans="1:10">
      <c r="A65" s="130"/>
      <c r="B65" s="131"/>
      <c r="C65" s="126">
        <v>0</v>
      </c>
      <c r="D65" s="127">
        <v>0</v>
      </c>
      <c r="E65" s="82">
        <f t="shared" si="1"/>
        <v>0</v>
      </c>
      <c r="F65" s="18">
        <f>IF(VLOOKUP(B65,'CPF Table'!$A$4:$G$8,5,TRUE)*CPF!C65&gt;=VLOOKUP(B65,'CPF Table'!$A$4:$G$8,6,TRUE),VLOOKUP(B65,'CPF Table'!$A$4:$G$8,5,TRUE)*C65+VLOOKUP(B65,'CPF Table'!$A$4:$G$8,5,TRUE)*CPF!D65,VLOOKUP(B65,'CPF Table'!$A$4:$G$8,5,TRUE)*CPF!C65+VLOOKUP(B65,'CPF Table'!$A$4:$G$8,5,TRUE)*CPF!D65)</f>
        <v>0</v>
      </c>
      <c r="G65" s="18">
        <f>VLOOKUP(B65,'CPF Table'!$A$13:$E$23,3,TRUE)*F65</f>
        <v>0</v>
      </c>
      <c r="H65" s="18">
        <f>VLOOKUP(B65,'CPF Table'!$A$13:$E$23,4,TRUE)*CPF!F65</f>
        <v>0</v>
      </c>
      <c r="I65" s="18">
        <f>VLOOKUP(B65,'CPF Table'!$A$13:$E$23,5,TRUE)*CPF!F65</f>
        <v>0</v>
      </c>
      <c r="J65" s="103">
        <f t="shared" si="0"/>
        <v>0</v>
      </c>
    </row>
    <row r="66" spans="1:10">
      <c r="A66" s="132"/>
      <c r="B66" s="133"/>
      <c r="C66" s="126">
        <v>0</v>
      </c>
      <c r="D66" s="127">
        <v>0</v>
      </c>
      <c r="E66" s="82">
        <f t="shared" si="1"/>
        <v>0</v>
      </c>
      <c r="F66" s="18">
        <f>IF(VLOOKUP(B66,'CPF Table'!$A$4:$G$8,5,TRUE)*CPF!C66&gt;=VLOOKUP(B66,'CPF Table'!$A$4:$G$8,6,TRUE),VLOOKUP(B66,'CPF Table'!$A$4:$G$8,5,TRUE)*C66+VLOOKUP(B66,'CPF Table'!$A$4:$G$8,5,TRUE)*CPF!D66,VLOOKUP(B66,'CPF Table'!$A$4:$G$8,5,TRUE)*CPF!C66+VLOOKUP(B66,'CPF Table'!$A$4:$G$8,5,TRUE)*CPF!D66)</f>
        <v>0</v>
      </c>
      <c r="G66" s="18">
        <f>VLOOKUP(B66,'CPF Table'!$A$13:$E$23,3,TRUE)*F66</f>
        <v>0</v>
      </c>
      <c r="H66" s="18">
        <f>VLOOKUP(B66,'CPF Table'!$A$13:$E$23,4,TRUE)*CPF!F66</f>
        <v>0</v>
      </c>
      <c r="I66" s="18">
        <f>VLOOKUP(B66,'CPF Table'!$A$13:$E$23,5,TRUE)*CPF!F66</f>
        <v>0</v>
      </c>
      <c r="J66" s="103">
        <f t="shared" si="0"/>
        <v>0</v>
      </c>
    </row>
    <row r="67" spans="1:10" s="66" customFormat="1">
      <c r="A67" s="134"/>
      <c r="B67" s="135"/>
      <c r="C67" s="126">
        <v>0</v>
      </c>
      <c r="D67" s="127">
        <v>0</v>
      </c>
      <c r="E67" s="82">
        <f t="shared" si="1"/>
        <v>0</v>
      </c>
      <c r="F67" s="18">
        <f>IF(VLOOKUP(B67,'CPF Table'!$A$4:$G$8,5,TRUE)*CPF!C67&gt;=VLOOKUP(B67,'CPF Table'!$A$4:$G$8,6,TRUE),VLOOKUP(B67,'CPF Table'!$A$4:$G$8,5,TRUE)*C67+VLOOKUP(B67,'CPF Table'!$A$4:$G$8,5,TRUE)*CPF!D67,VLOOKUP(B67,'CPF Table'!$A$4:$G$8,5,TRUE)*CPF!C67+VLOOKUP(B67,'CPF Table'!$A$4:$G$8,5,TRUE)*CPF!D67)</f>
        <v>0</v>
      </c>
      <c r="G67" s="18">
        <f>VLOOKUP(B67,'CPF Table'!$A$13:$E$23,3,TRUE)*F67</f>
        <v>0</v>
      </c>
      <c r="H67" s="18">
        <f>VLOOKUP(B67,'CPF Table'!$A$13:$E$23,4,TRUE)*CPF!F67</f>
        <v>0</v>
      </c>
      <c r="I67" s="18">
        <f>VLOOKUP(B67,'CPF Table'!$A$13:$E$23,5,TRUE)*CPF!F67</f>
        <v>0</v>
      </c>
      <c r="J67" s="103">
        <f t="shared" si="0"/>
        <v>0</v>
      </c>
    </row>
    <row r="68" spans="1:10">
      <c r="A68" s="136"/>
      <c r="B68" s="137"/>
      <c r="C68" s="126">
        <v>0</v>
      </c>
      <c r="D68" s="127">
        <v>0</v>
      </c>
      <c r="E68" s="82">
        <f t="shared" si="1"/>
        <v>0</v>
      </c>
      <c r="F68" s="18">
        <f>IF(VLOOKUP(B68,'CPF Table'!$A$4:$G$8,5,TRUE)*CPF!C68&gt;=VLOOKUP(B68,'CPF Table'!$A$4:$G$8,6,TRUE),VLOOKUP(B68,'CPF Table'!$A$4:$G$8,5,TRUE)*C68+VLOOKUP(B68,'CPF Table'!$A$4:$G$8,5,TRUE)*CPF!D68,VLOOKUP(B68,'CPF Table'!$A$4:$G$8,5,TRUE)*CPF!C68+VLOOKUP(B68,'CPF Table'!$A$4:$G$8,5,TRUE)*CPF!D68)</f>
        <v>0</v>
      </c>
      <c r="G68" s="18">
        <f>VLOOKUP(B68,'CPF Table'!$A$13:$E$23,3,TRUE)*F68</f>
        <v>0</v>
      </c>
      <c r="H68" s="18">
        <f>VLOOKUP(B68,'CPF Table'!$A$13:$E$23,4,TRUE)*CPF!F68</f>
        <v>0</v>
      </c>
      <c r="I68" s="18">
        <f>VLOOKUP(B68,'CPF Table'!$A$13:$E$23,5,TRUE)*CPF!F68</f>
        <v>0</v>
      </c>
      <c r="J68" s="103">
        <f t="shared" si="0"/>
        <v>0</v>
      </c>
    </row>
    <row r="69" spans="1:10">
      <c r="C69" s="126">
        <v>0</v>
      </c>
      <c r="D69" s="127">
        <v>0</v>
      </c>
      <c r="E69" s="82">
        <f t="shared" si="1"/>
        <v>0</v>
      </c>
      <c r="F69" s="18">
        <f>IF(VLOOKUP(B69,'CPF Table'!$A$4:$G$8,5,TRUE)*CPF!C69&gt;=VLOOKUP(B69,'CPF Table'!$A$4:$G$8,6,TRUE),VLOOKUP(B69,'CPF Table'!$A$4:$G$8,5,TRUE)*C69+VLOOKUP(B69,'CPF Table'!$A$4:$G$8,5,TRUE)*CPF!D69,VLOOKUP(B69,'CPF Table'!$A$4:$G$8,5,TRUE)*CPF!C69+VLOOKUP(B69,'CPF Table'!$A$4:$G$8,5,TRUE)*CPF!D69)</f>
        <v>0</v>
      </c>
      <c r="G69" s="18">
        <f>VLOOKUP(B69,'CPF Table'!$A$13:$E$23,3,TRUE)*F69</f>
        <v>0</v>
      </c>
      <c r="H69" s="18">
        <f>VLOOKUP(B69,'CPF Table'!$A$13:$E$23,4,TRUE)*CPF!F69</f>
        <v>0</v>
      </c>
      <c r="I69" s="18">
        <f>VLOOKUP(B69,'CPF Table'!$A$13:$E$23,5,TRUE)*CPF!F69</f>
        <v>0</v>
      </c>
      <c r="J69" s="103">
        <f t="shared" si="0"/>
        <v>0</v>
      </c>
    </row>
    <row r="70" spans="1:10">
      <c r="C70" s="126">
        <v>0</v>
      </c>
      <c r="D70" s="127">
        <v>0</v>
      </c>
      <c r="E70" s="82">
        <f t="shared" si="1"/>
        <v>0</v>
      </c>
      <c r="F70" s="18">
        <f>IF(VLOOKUP(B70,'CPF Table'!$A$4:$G$8,5,TRUE)*CPF!C70&gt;=VLOOKUP(B70,'CPF Table'!$A$4:$G$8,6,TRUE),VLOOKUP(B70,'CPF Table'!$A$4:$G$8,5,TRUE)*C70+VLOOKUP(B70,'CPF Table'!$A$4:$G$8,5,TRUE)*CPF!D70,VLOOKUP(B70,'CPF Table'!$A$4:$G$8,5,TRUE)*CPF!C70+VLOOKUP(B70,'CPF Table'!$A$4:$G$8,5,TRUE)*CPF!D70)</f>
        <v>0</v>
      </c>
      <c r="G70" s="18">
        <f>VLOOKUP(B70,'CPF Table'!$A$13:$E$23,3,TRUE)*F70</f>
        <v>0</v>
      </c>
      <c r="H70" s="18">
        <f>VLOOKUP(B70,'CPF Table'!$A$13:$E$23,4,TRUE)*CPF!F70</f>
        <v>0</v>
      </c>
      <c r="I70" s="18">
        <f>VLOOKUP(B70,'CPF Table'!$A$13:$E$23,5,TRUE)*CPF!F70</f>
        <v>0</v>
      </c>
      <c r="J70" s="103">
        <f t="shared" si="0"/>
        <v>0</v>
      </c>
    </row>
    <row r="71" spans="1:10">
      <c r="C71" s="126">
        <v>0</v>
      </c>
      <c r="D71" s="127">
        <v>0</v>
      </c>
      <c r="E71" s="82">
        <f t="shared" si="1"/>
        <v>0</v>
      </c>
      <c r="F71" s="18">
        <f>IF(VLOOKUP(B71,'CPF Table'!$A$4:$G$8,5,TRUE)*CPF!C71&gt;=VLOOKUP(B71,'CPF Table'!$A$4:$G$8,6,TRUE),VLOOKUP(B71,'CPF Table'!$A$4:$G$8,5,TRUE)*C71+VLOOKUP(B71,'CPF Table'!$A$4:$G$8,5,TRUE)*CPF!D71,VLOOKUP(B71,'CPF Table'!$A$4:$G$8,5,TRUE)*CPF!C71+VLOOKUP(B71,'CPF Table'!$A$4:$G$8,5,TRUE)*CPF!D71)</f>
        <v>0</v>
      </c>
      <c r="G71" s="18">
        <f>VLOOKUP(B71,'CPF Table'!$A$13:$E$23,3,TRUE)*F71</f>
        <v>0</v>
      </c>
      <c r="H71" s="18">
        <f>VLOOKUP(B71,'CPF Table'!$A$13:$E$23,4,TRUE)*CPF!F71</f>
        <v>0</v>
      </c>
      <c r="I71" s="18">
        <f>VLOOKUP(B71,'CPF Table'!$A$13:$E$23,5,TRUE)*CPF!F71</f>
        <v>0</v>
      </c>
      <c r="J71" s="103">
        <f t="shared" si="0"/>
        <v>0</v>
      </c>
    </row>
    <row r="72" spans="1:10">
      <c r="C72" s="126">
        <v>0</v>
      </c>
      <c r="D72" s="127">
        <v>0</v>
      </c>
      <c r="E72" s="82">
        <f t="shared" si="1"/>
        <v>0</v>
      </c>
      <c r="F72" s="18">
        <f>IF(VLOOKUP(B72,'CPF Table'!$A$4:$G$8,5,TRUE)*CPF!C72&gt;=VLOOKUP(B72,'CPF Table'!$A$4:$G$8,6,TRUE),VLOOKUP(B72,'CPF Table'!$A$4:$G$8,5,TRUE)*C72+VLOOKUP(B72,'CPF Table'!$A$4:$G$8,5,TRUE)*CPF!D72,VLOOKUP(B72,'CPF Table'!$A$4:$G$8,5,TRUE)*CPF!C72+VLOOKUP(B72,'CPF Table'!$A$4:$G$8,5,TRUE)*CPF!D72)</f>
        <v>0</v>
      </c>
      <c r="G72" s="18">
        <f>VLOOKUP(B72,'CPF Table'!$A$13:$E$23,3,TRUE)*F72</f>
        <v>0</v>
      </c>
      <c r="H72" s="18">
        <f>VLOOKUP(B72,'CPF Table'!$A$13:$E$23,4,TRUE)*CPF!F72</f>
        <v>0</v>
      </c>
      <c r="I72" s="18">
        <f>VLOOKUP(B72,'CPF Table'!$A$13:$E$23,5,TRUE)*CPF!F72</f>
        <v>0</v>
      </c>
      <c r="J72" s="103">
        <f t="shared" si="0"/>
        <v>0</v>
      </c>
    </row>
    <row r="73" spans="1:10">
      <c r="C73" s="126">
        <v>0</v>
      </c>
      <c r="D73" s="127">
        <v>0</v>
      </c>
      <c r="E73" s="82">
        <f t="shared" si="1"/>
        <v>0</v>
      </c>
      <c r="F73" s="18">
        <f>IF(VLOOKUP(B73,'CPF Table'!$A$4:$G$8,5,TRUE)*CPF!C73&gt;=VLOOKUP(B73,'CPF Table'!$A$4:$G$8,6,TRUE),VLOOKUP(B73,'CPF Table'!$A$4:$G$8,5,TRUE)*C73+VLOOKUP(B73,'CPF Table'!$A$4:$G$8,5,TRUE)*CPF!D73,VLOOKUP(B73,'CPF Table'!$A$4:$G$8,5,TRUE)*CPF!C73+VLOOKUP(B73,'CPF Table'!$A$4:$G$8,5,TRUE)*CPF!D73)</f>
        <v>0</v>
      </c>
      <c r="G73" s="18">
        <f>VLOOKUP(B73,'CPF Table'!$A$13:$E$23,3,TRUE)*F73</f>
        <v>0</v>
      </c>
      <c r="H73" s="18">
        <f>VLOOKUP(B73,'CPF Table'!$A$13:$E$23,4,TRUE)*CPF!F73</f>
        <v>0</v>
      </c>
      <c r="I73" s="18">
        <f>VLOOKUP(B73,'CPF Table'!$A$13:$E$23,5,TRUE)*CPF!F73</f>
        <v>0</v>
      </c>
      <c r="J73" s="103">
        <f t="shared" si="0"/>
        <v>0</v>
      </c>
    </row>
    <row r="74" spans="1:10">
      <c r="C74" s="126">
        <v>0</v>
      </c>
      <c r="D74" s="127">
        <v>0</v>
      </c>
      <c r="E74" s="82">
        <f t="shared" si="1"/>
        <v>0</v>
      </c>
      <c r="F74" s="18">
        <f>IF(VLOOKUP(B74,'CPF Table'!$A$4:$G$8,5,TRUE)*CPF!C74&gt;=VLOOKUP(B74,'CPF Table'!$A$4:$G$8,6,TRUE),VLOOKUP(B74,'CPF Table'!$A$4:$G$8,5,TRUE)*C74+VLOOKUP(B74,'CPF Table'!$A$4:$G$8,5,TRUE)*CPF!D74,VLOOKUP(B74,'CPF Table'!$A$4:$G$8,5,TRUE)*CPF!C74+VLOOKUP(B74,'CPF Table'!$A$4:$G$8,5,TRUE)*CPF!D74)</f>
        <v>0</v>
      </c>
      <c r="G74" s="18">
        <f>VLOOKUP(B74,'CPF Table'!$A$13:$E$23,3,TRUE)*F74</f>
        <v>0</v>
      </c>
      <c r="H74" s="18">
        <f>VLOOKUP(B74,'CPF Table'!$A$13:$E$23,4,TRUE)*CPF!F74</f>
        <v>0</v>
      </c>
      <c r="I74" s="18">
        <f>VLOOKUP(B74,'CPF Table'!$A$13:$E$23,5,TRUE)*CPF!F74</f>
        <v>0</v>
      </c>
      <c r="J74" s="103">
        <f t="shared" si="0"/>
        <v>0</v>
      </c>
    </row>
    <row r="75" spans="1:10">
      <c r="C75" s="126">
        <v>0</v>
      </c>
      <c r="D75" s="127">
        <v>0</v>
      </c>
      <c r="E75" s="82">
        <f t="shared" si="1"/>
        <v>0</v>
      </c>
      <c r="F75" s="18">
        <f>IF(VLOOKUP(B75,'CPF Table'!$A$4:$G$8,5,TRUE)*CPF!C75&gt;=VLOOKUP(B75,'CPF Table'!$A$4:$G$8,6,TRUE),VLOOKUP(B75,'CPF Table'!$A$4:$G$8,5,TRUE)*C75+VLOOKUP(B75,'CPF Table'!$A$4:$G$8,5,TRUE)*CPF!D75,VLOOKUP(B75,'CPF Table'!$A$4:$G$8,5,TRUE)*CPF!C75+VLOOKUP(B75,'CPF Table'!$A$4:$G$8,5,TRUE)*CPF!D75)</f>
        <v>0</v>
      </c>
      <c r="G75" s="18">
        <f>VLOOKUP(B75,'CPF Table'!$A$13:$E$23,3,TRUE)*F75</f>
        <v>0</v>
      </c>
      <c r="H75" s="18">
        <f>VLOOKUP(B75,'CPF Table'!$A$13:$E$23,4,TRUE)*CPF!F75</f>
        <v>0</v>
      </c>
      <c r="I75" s="18">
        <f>VLOOKUP(B75,'CPF Table'!$A$13:$E$23,5,TRUE)*CPF!F75</f>
        <v>0</v>
      </c>
      <c r="J75" s="103">
        <f t="shared" si="0"/>
        <v>0</v>
      </c>
    </row>
    <row r="76" spans="1:10">
      <c r="C76" s="126">
        <v>0</v>
      </c>
      <c r="D76" s="127">
        <v>0</v>
      </c>
      <c r="E76" s="82">
        <f t="shared" si="1"/>
        <v>0</v>
      </c>
      <c r="F76" s="18">
        <f>IF(VLOOKUP(B76,'CPF Table'!$A$4:$G$8,5,TRUE)*CPF!C76&gt;=VLOOKUP(B76,'CPF Table'!$A$4:$G$8,6,TRUE),VLOOKUP(B76,'CPF Table'!$A$4:$G$8,5,TRUE)*C76+VLOOKUP(B76,'CPF Table'!$A$4:$G$8,5,TRUE)*CPF!D76,VLOOKUP(B76,'CPF Table'!$A$4:$G$8,5,TRUE)*CPF!C76+VLOOKUP(B76,'CPF Table'!$A$4:$G$8,5,TRUE)*CPF!D76)</f>
        <v>0</v>
      </c>
      <c r="G76" s="18">
        <f>VLOOKUP(B76,'CPF Table'!$A$13:$E$23,3,TRUE)*F76</f>
        <v>0</v>
      </c>
      <c r="H76" s="18">
        <f>VLOOKUP(B76,'CPF Table'!$A$13:$E$23,4,TRUE)*CPF!F76</f>
        <v>0</v>
      </c>
      <c r="I76" s="18">
        <f>VLOOKUP(B76,'CPF Table'!$A$13:$E$23,5,TRUE)*CPF!F76</f>
        <v>0</v>
      </c>
      <c r="J76" s="103">
        <f t="shared" si="0"/>
        <v>0</v>
      </c>
    </row>
    <row r="77" spans="1:10">
      <c r="C77" s="126">
        <v>0</v>
      </c>
      <c r="D77" s="127">
        <v>0</v>
      </c>
      <c r="E77" s="82">
        <f t="shared" si="1"/>
        <v>0</v>
      </c>
      <c r="F77" s="18">
        <f>IF(VLOOKUP(B77,'CPF Table'!$A$4:$G$8,5,TRUE)*CPF!C77&gt;=VLOOKUP(B77,'CPF Table'!$A$4:$G$8,6,TRUE),VLOOKUP(B77,'CPF Table'!$A$4:$G$8,5,TRUE)*C77+VLOOKUP(B77,'CPF Table'!$A$4:$G$8,5,TRUE)*CPF!D77,VLOOKUP(B77,'CPF Table'!$A$4:$G$8,5,TRUE)*CPF!C77+VLOOKUP(B77,'CPF Table'!$A$4:$G$8,5,TRUE)*CPF!D77)</f>
        <v>0</v>
      </c>
      <c r="G77" s="18">
        <f>VLOOKUP(B77,'CPF Table'!$A$13:$E$23,3,TRUE)*F77</f>
        <v>0</v>
      </c>
      <c r="H77" s="18">
        <f>VLOOKUP(B77,'CPF Table'!$A$13:$E$23,4,TRUE)*CPF!F77</f>
        <v>0</v>
      </c>
      <c r="I77" s="18">
        <f>VLOOKUP(B77,'CPF Table'!$A$13:$E$23,5,TRUE)*CPF!F77</f>
        <v>0</v>
      </c>
      <c r="J77" s="103">
        <f t="shared" si="0"/>
        <v>0</v>
      </c>
    </row>
    <row r="78" spans="1:10">
      <c r="C78" s="126">
        <v>0</v>
      </c>
      <c r="D78" s="127">
        <v>0</v>
      </c>
      <c r="E78" s="82">
        <f t="shared" si="1"/>
        <v>0</v>
      </c>
      <c r="F78" s="18">
        <f>IF(VLOOKUP(B78,'CPF Table'!$A$4:$G$8,5,TRUE)*CPF!C78&gt;=VLOOKUP(B78,'CPF Table'!$A$4:$G$8,6,TRUE),VLOOKUP(B78,'CPF Table'!$A$4:$G$8,5,TRUE)*C78+VLOOKUP(B78,'CPF Table'!$A$4:$G$8,5,TRUE)*CPF!D78,VLOOKUP(B78,'CPF Table'!$A$4:$G$8,5,TRUE)*CPF!C78+VLOOKUP(B78,'CPF Table'!$A$4:$G$8,5,TRUE)*CPF!D78)</f>
        <v>0</v>
      </c>
      <c r="G78" s="18">
        <f>VLOOKUP(B78,'CPF Table'!$A$13:$E$23,3,TRUE)*F78</f>
        <v>0</v>
      </c>
      <c r="H78" s="18">
        <f>VLOOKUP(B78,'CPF Table'!$A$13:$E$23,4,TRUE)*CPF!F78</f>
        <v>0</v>
      </c>
      <c r="I78" s="18">
        <f>VLOOKUP(B78,'CPF Table'!$A$13:$E$23,5,TRUE)*CPF!F78</f>
        <v>0</v>
      </c>
      <c r="J78" s="103">
        <f t="shared" ref="J78:J141" si="2">E78-F78</f>
        <v>0</v>
      </c>
    </row>
    <row r="79" spans="1:10">
      <c r="C79" s="126">
        <v>0</v>
      </c>
      <c r="D79" s="127">
        <v>0</v>
      </c>
      <c r="E79" s="82">
        <f t="shared" ref="E79:E142" si="3">C79+D79</f>
        <v>0</v>
      </c>
      <c r="F79" s="18">
        <f>IF(VLOOKUP(B79,'CPF Table'!$A$4:$G$8,5,TRUE)*CPF!C79&gt;=VLOOKUP(B79,'CPF Table'!$A$4:$G$8,6,TRUE),VLOOKUP(B79,'CPF Table'!$A$4:$G$8,5,TRUE)*C79+VLOOKUP(B79,'CPF Table'!$A$4:$G$8,5,TRUE)*CPF!D79,VLOOKUP(B79,'CPF Table'!$A$4:$G$8,5,TRUE)*CPF!C79+VLOOKUP(B79,'CPF Table'!$A$4:$G$8,5,TRUE)*CPF!D79)</f>
        <v>0</v>
      </c>
      <c r="G79" s="18">
        <f>VLOOKUP(B79,'CPF Table'!$A$13:$E$23,3,TRUE)*F79</f>
        <v>0</v>
      </c>
      <c r="H79" s="18">
        <f>VLOOKUP(B79,'CPF Table'!$A$13:$E$23,4,TRUE)*CPF!F79</f>
        <v>0</v>
      </c>
      <c r="I79" s="18">
        <f>VLOOKUP(B79,'CPF Table'!$A$13:$E$23,5,TRUE)*CPF!F79</f>
        <v>0</v>
      </c>
      <c r="J79" s="103">
        <f t="shared" si="2"/>
        <v>0</v>
      </c>
    </row>
    <row r="80" spans="1:10">
      <c r="C80" s="126">
        <v>0</v>
      </c>
      <c r="D80" s="127">
        <v>0</v>
      </c>
      <c r="E80" s="82">
        <f t="shared" si="3"/>
        <v>0</v>
      </c>
      <c r="F80" s="18">
        <f>IF(VLOOKUP(B80,'CPF Table'!$A$4:$G$8,5,TRUE)*CPF!C80&gt;=VLOOKUP(B80,'CPF Table'!$A$4:$G$8,6,TRUE),VLOOKUP(B80,'CPF Table'!$A$4:$G$8,5,TRUE)*C80+VLOOKUP(B80,'CPF Table'!$A$4:$G$8,5,TRUE)*CPF!D80,VLOOKUP(B80,'CPF Table'!$A$4:$G$8,5,TRUE)*CPF!C80+VLOOKUP(B80,'CPF Table'!$A$4:$G$8,5,TRUE)*CPF!D80)</f>
        <v>0</v>
      </c>
      <c r="G80" s="18">
        <f>VLOOKUP(B80,'CPF Table'!$A$13:$E$23,3,TRUE)*F80</f>
        <v>0</v>
      </c>
      <c r="H80" s="18">
        <f>VLOOKUP(B80,'CPF Table'!$A$13:$E$23,4,TRUE)*CPF!F80</f>
        <v>0</v>
      </c>
      <c r="I80" s="18">
        <f>VLOOKUP(B80,'CPF Table'!$A$13:$E$23,5,TRUE)*CPF!F80</f>
        <v>0</v>
      </c>
      <c r="J80" s="103">
        <f t="shared" si="2"/>
        <v>0</v>
      </c>
    </row>
    <row r="81" spans="3:10">
      <c r="C81" s="126">
        <v>0</v>
      </c>
      <c r="D81" s="127">
        <v>0</v>
      </c>
      <c r="E81" s="82">
        <f t="shared" si="3"/>
        <v>0</v>
      </c>
      <c r="F81" s="18">
        <f>IF(VLOOKUP(B81,'CPF Table'!$A$4:$G$8,5,TRUE)*CPF!C81&gt;=VLOOKUP(B81,'CPF Table'!$A$4:$G$8,6,TRUE),VLOOKUP(B81,'CPF Table'!$A$4:$G$8,5,TRUE)*C81+VLOOKUP(B81,'CPF Table'!$A$4:$G$8,5,TRUE)*CPF!D81,VLOOKUP(B81,'CPF Table'!$A$4:$G$8,5,TRUE)*CPF!C81+VLOOKUP(B81,'CPF Table'!$A$4:$G$8,5,TRUE)*CPF!D81)</f>
        <v>0</v>
      </c>
      <c r="G81" s="18">
        <f>VLOOKUP(B81,'CPF Table'!$A$13:$E$23,3,TRUE)*F81</f>
        <v>0</v>
      </c>
      <c r="H81" s="18">
        <f>VLOOKUP(B81,'CPF Table'!$A$13:$E$23,4,TRUE)*CPF!F81</f>
        <v>0</v>
      </c>
      <c r="I81" s="18">
        <f>VLOOKUP(B81,'CPF Table'!$A$13:$E$23,5,TRUE)*CPF!F81</f>
        <v>0</v>
      </c>
      <c r="J81" s="103">
        <f t="shared" si="2"/>
        <v>0</v>
      </c>
    </row>
    <row r="82" spans="3:10">
      <c r="C82" s="126">
        <v>0</v>
      </c>
      <c r="D82" s="127">
        <v>0</v>
      </c>
      <c r="E82" s="82">
        <f t="shared" si="3"/>
        <v>0</v>
      </c>
      <c r="F82" s="18">
        <f>IF(VLOOKUP(B82,'CPF Table'!$A$4:$G$8,5,TRUE)*CPF!C82&gt;=VLOOKUP(B82,'CPF Table'!$A$4:$G$8,6,TRUE),VLOOKUP(B82,'CPF Table'!$A$4:$G$8,5,TRUE)*C82+VLOOKUP(B82,'CPF Table'!$A$4:$G$8,5,TRUE)*CPF!D82,VLOOKUP(B82,'CPF Table'!$A$4:$G$8,5,TRUE)*CPF!C82+VLOOKUP(B82,'CPF Table'!$A$4:$G$8,5,TRUE)*CPF!D82)</f>
        <v>0</v>
      </c>
      <c r="G82" s="18">
        <f>VLOOKUP(B82,'CPF Table'!$A$13:$E$23,3,TRUE)*F82</f>
        <v>0</v>
      </c>
      <c r="H82" s="18">
        <f>VLOOKUP(B82,'CPF Table'!$A$13:$E$23,4,TRUE)*CPF!F82</f>
        <v>0</v>
      </c>
      <c r="I82" s="18">
        <f>VLOOKUP(B82,'CPF Table'!$A$13:$E$23,5,TRUE)*CPF!F82</f>
        <v>0</v>
      </c>
      <c r="J82" s="103">
        <f t="shared" si="2"/>
        <v>0</v>
      </c>
    </row>
    <row r="83" spans="3:10">
      <c r="C83" s="126">
        <v>0</v>
      </c>
      <c r="D83" s="127">
        <v>0</v>
      </c>
      <c r="E83" s="82">
        <f t="shared" si="3"/>
        <v>0</v>
      </c>
      <c r="F83" s="18">
        <f>IF(VLOOKUP(B83,'CPF Table'!$A$4:$G$8,5,TRUE)*CPF!C83&gt;=VLOOKUP(B83,'CPF Table'!$A$4:$G$8,6,TRUE),VLOOKUP(B83,'CPF Table'!$A$4:$G$8,5,TRUE)*C83+VLOOKUP(B83,'CPF Table'!$A$4:$G$8,5,TRUE)*CPF!D83,VLOOKUP(B83,'CPF Table'!$A$4:$G$8,5,TRUE)*CPF!C83+VLOOKUP(B83,'CPF Table'!$A$4:$G$8,5,TRUE)*CPF!D83)</f>
        <v>0</v>
      </c>
      <c r="G83" s="18">
        <f>VLOOKUP(B83,'CPF Table'!$A$13:$E$23,3,TRUE)*F83</f>
        <v>0</v>
      </c>
      <c r="H83" s="18">
        <f>VLOOKUP(B83,'CPF Table'!$A$13:$E$23,4,TRUE)*CPF!F83</f>
        <v>0</v>
      </c>
      <c r="I83" s="18">
        <f>VLOOKUP(B83,'CPF Table'!$A$13:$E$23,5,TRUE)*CPF!F83</f>
        <v>0</v>
      </c>
      <c r="J83" s="103">
        <f t="shared" si="2"/>
        <v>0</v>
      </c>
    </row>
    <row r="84" spans="3:10">
      <c r="C84" s="126">
        <v>0</v>
      </c>
      <c r="D84" s="127">
        <v>0</v>
      </c>
      <c r="E84" s="82">
        <f t="shared" si="3"/>
        <v>0</v>
      </c>
      <c r="F84" s="18">
        <f>IF(VLOOKUP(B84,'CPF Table'!$A$4:$G$8,5,TRUE)*CPF!C84&gt;=VLOOKUP(B84,'CPF Table'!$A$4:$G$8,6,TRUE),VLOOKUP(B84,'CPF Table'!$A$4:$G$8,5,TRUE)*C84+VLOOKUP(B84,'CPF Table'!$A$4:$G$8,5,TRUE)*CPF!D84,VLOOKUP(B84,'CPF Table'!$A$4:$G$8,5,TRUE)*CPF!C84+VLOOKUP(B84,'CPF Table'!$A$4:$G$8,5,TRUE)*CPF!D84)</f>
        <v>0</v>
      </c>
      <c r="G84" s="18">
        <f>VLOOKUP(B84,'CPF Table'!$A$13:$E$23,3,TRUE)*F84</f>
        <v>0</v>
      </c>
      <c r="H84" s="18">
        <f>VLOOKUP(B84,'CPF Table'!$A$13:$E$23,4,TRUE)*CPF!F84</f>
        <v>0</v>
      </c>
      <c r="I84" s="18">
        <f>VLOOKUP(B84,'CPF Table'!$A$13:$E$23,5,TRUE)*CPF!F84</f>
        <v>0</v>
      </c>
      <c r="J84" s="103">
        <f t="shared" si="2"/>
        <v>0</v>
      </c>
    </row>
    <row r="85" spans="3:10">
      <c r="C85" s="126">
        <v>0</v>
      </c>
      <c r="D85" s="127">
        <v>0</v>
      </c>
      <c r="E85" s="82">
        <f t="shared" si="3"/>
        <v>0</v>
      </c>
      <c r="F85" s="18">
        <f>IF(VLOOKUP(B85,'CPF Table'!$A$4:$G$8,5,TRUE)*CPF!C85&gt;=VLOOKUP(B85,'CPF Table'!$A$4:$G$8,6,TRUE),VLOOKUP(B85,'CPF Table'!$A$4:$G$8,5,TRUE)*C85+VLOOKUP(B85,'CPF Table'!$A$4:$G$8,5,TRUE)*CPF!D85,VLOOKUP(B85,'CPF Table'!$A$4:$G$8,5,TRUE)*CPF!C85+VLOOKUP(B85,'CPF Table'!$A$4:$G$8,5,TRUE)*CPF!D85)</f>
        <v>0</v>
      </c>
      <c r="G85" s="18">
        <f>VLOOKUP(B85,'CPF Table'!$A$13:$E$23,3,TRUE)*F85</f>
        <v>0</v>
      </c>
      <c r="H85" s="18">
        <f>VLOOKUP(B85,'CPF Table'!$A$13:$E$23,4,TRUE)*CPF!F85</f>
        <v>0</v>
      </c>
      <c r="I85" s="18">
        <f>VLOOKUP(B85,'CPF Table'!$A$13:$E$23,5,TRUE)*CPF!F85</f>
        <v>0</v>
      </c>
      <c r="J85" s="103">
        <f t="shared" si="2"/>
        <v>0</v>
      </c>
    </row>
    <row r="86" spans="3:10">
      <c r="C86" s="126">
        <v>0</v>
      </c>
      <c r="D86" s="127">
        <v>0</v>
      </c>
      <c r="E86" s="82">
        <f t="shared" si="3"/>
        <v>0</v>
      </c>
      <c r="F86" s="18">
        <f>IF(VLOOKUP(B86,'CPF Table'!$A$4:$G$8,5,TRUE)*CPF!C86&gt;=VLOOKUP(B86,'CPF Table'!$A$4:$G$8,6,TRUE),VLOOKUP(B86,'CPF Table'!$A$4:$G$8,5,TRUE)*C86+VLOOKUP(B86,'CPF Table'!$A$4:$G$8,5,TRUE)*CPF!D86,VLOOKUP(B86,'CPF Table'!$A$4:$G$8,5,TRUE)*CPF!C86+VLOOKUP(B86,'CPF Table'!$A$4:$G$8,5,TRUE)*CPF!D86)</f>
        <v>0</v>
      </c>
      <c r="G86" s="18">
        <f>VLOOKUP(B86,'CPF Table'!$A$13:$E$23,3,TRUE)*F86</f>
        <v>0</v>
      </c>
      <c r="H86" s="18">
        <f>VLOOKUP(B86,'CPF Table'!$A$13:$E$23,4,TRUE)*CPF!F86</f>
        <v>0</v>
      </c>
      <c r="I86" s="18">
        <f>VLOOKUP(B86,'CPF Table'!$A$13:$E$23,5,TRUE)*CPF!F86</f>
        <v>0</v>
      </c>
      <c r="J86" s="103">
        <f t="shared" si="2"/>
        <v>0</v>
      </c>
    </row>
    <row r="87" spans="3:10">
      <c r="C87" s="126">
        <v>0</v>
      </c>
      <c r="D87" s="127">
        <v>0</v>
      </c>
      <c r="E87" s="82">
        <f t="shared" si="3"/>
        <v>0</v>
      </c>
      <c r="F87" s="18">
        <f>IF(VLOOKUP(B87,'CPF Table'!$A$4:$G$8,5,TRUE)*CPF!C87&gt;=VLOOKUP(B87,'CPF Table'!$A$4:$G$8,6,TRUE),VLOOKUP(B87,'CPF Table'!$A$4:$G$8,5,TRUE)*C87+VLOOKUP(B87,'CPF Table'!$A$4:$G$8,5,TRUE)*CPF!D87,VLOOKUP(B87,'CPF Table'!$A$4:$G$8,5,TRUE)*CPF!C87+VLOOKUP(B87,'CPF Table'!$A$4:$G$8,5,TRUE)*CPF!D87)</f>
        <v>0</v>
      </c>
      <c r="G87" s="18">
        <f>VLOOKUP(B87,'CPF Table'!$A$13:$E$23,3,TRUE)*F87</f>
        <v>0</v>
      </c>
      <c r="H87" s="18">
        <f>VLOOKUP(B87,'CPF Table'!$A$13:$E$23,4,TRUE)*CPF!F87</f>
        <v>0</v>
      </c>
      <c r="I87" s="18">
        <f>VLOOKUP(B87,'CPF Table'!$A$13:$E$23,5,TRUE)*CPF!F87</f>
        <v>0</v>
      </c>
      <c r="J87" s="103">
        <f t="shared" si="2"/>
        <v>0</v>
      </c>
    </row>
    <row r="88" spans="3:10">
      <c r="C88" s="126">
        <v>0</v>
      </c>
      <c r="D88" s="127">
        <v>0</v>
      </c>
      <c r="E88" s="82">
        <f t="shared" si="3"/>
        <v>0</v>
      </c>
      <c r="F88" s="18">
        <f>IF(VLOOKUP(B88,'CPF Table'!$A$4:$G$8,5,TRUE)*CPF!C88&gt;=VLOOKUP(B88,'CPF Table'!$A$4:$G$8,6,TRUE),VLOOKUP(B88,'CPF Table'!$A$4:$G$8,5,TRUE)*C88+VLOOKUP(B88,'CPF Table'!$A$4:$G$8,5,TRUE)*CPF!D88,VLOOKUP(B88,'CPF Table'!$A$4:$G$8,5,TRUE)*CPF!C88+VLOOKUP(B88,'CPF Table'!$A$4:$G$8,5,TRUE)*CPF!D88)</f>
        <v>0</v>
      </c>
      <c r="G88" s="18">
        <f>VLOOKUP(B88,'CPF Table'!$A$13:$E$23,3,TRUE)*F88</f>
        <v>0</v>
      </c>
      <c r="H88" s="18">
        <f>VLOOKUP(B88,'CPF Table'!$A$13:$E$23,4,TRUE)*CPF!F88</f>
        <v>0</v>
      </c>
      <c r="I88" s="18">
        <f>VLOOKUP(B88,'CPF Table'!$A$13:$E$23,5,TRUE)*CPF!F88</f>
        <v>0</v>
      </c>
      <c r="J88" s="103">
        <f t="shared" si="2"/>
        <v>0</v>
      </c>
    </row>
    <row r="89" spans="3:10">
      <c r="C89" s="126">
        <v>0</v>
      </c>
      <c r="D89" s="127">
        <v>0</v>
      </c>
      <c r="E89" s="82">
        <f t="shared" si="3"/>
        <v>0</v>
      </c>
      <c r="F89" s="18">
        <f>IF(VLOOKUP(B89,'CPF Table'!$A$4:$G$8,5,TRUE)*CPF!C89&gt;=VLOOKUP(B89,'CPF Table'!$A$4:$G$8,6,TRUE),VLOOKUP(B89,'CPF Table'!$A$4:$G$8,5,TRUE)*C89+VLOOKUP(B89,'CPF Table'!$A$4:$G$8,5,TRUE)*CPF!D89,VLOOKUP(B89,'CPF Table'!$A$4:$G$8,5,TRUE)*CPF!C89+VLOOKUP(B89,'CPF Table'!$A$4:$G$8,5,TRUE)*CPF!D89)</f>
        <v>0</v>
      </c>
      <c r="G89" s="18">
        <f>VLOOKUP(B89,'CPF Table'!$A$13:$E$23,3,TRUE)*F89</f>
        <v>0</v>
      </c>
      <c r="H89" s="18">
        <f>VLOOKUP(B89,'CPF Table'!$A$13:$E$23,4,TRUE)*CPF!F89</f>
        <v>0</v>
      </c>
      <c r="I89" s="18">
        <f>VLOOKUP(B89,'CPF Table'!$A$13:$E$23,5,TRUE)*CPF!F89</f>
        <v>0</v>
      </c>
      <c r="J89" s="103">
        <f t="shared" si="2"/>
        <v>0</v>
      </c>
    </row>
    <row r="90" spans="3:10">
      <c r="C90" s="126">
        <v>0</v>
      </c>
      <c r="D90" s="127">
        <v>0</v>
      </c>
      <c r="E90" s="82">
        <f t="shared" si="3"/>
        <v>0</v>
      </c>
      <c r="F90" s="18">
        <f>IF(VLOOKUP(B90,'CPF Table'!$A$4:$G$8,5,TRUE)*CPF!C90&gt;=VLOOKUP(B90,'CPF Table'!$A$4:$G$8,6,TRUE),VLOOKUP(B90,'CPF Table'!$A$4:$G$8,5,TRUE)*C90+VLOOKUP(B90,'CPF Table'!$A$4:$G$8,5,TRUE)*CPF!D90,VLOOKUP(B90,'CPF Table'!$A$4:$G$8,5,TRUE)*CPF!C90+VLOOKUP(B90,'CPF Table'!$A$4:$G$8,5,TRUE)*CPF!D90)</f>
        <v>0</v>
      </c>
      <c r="G90" s="18">
        <f>VLOOKUP(B90,'CPF Table'!$A$13:$E$23,3,TRUE)*F90</f>
        <v>0</v>
      </c>
      <c r="H90" s="18">
        <f>VLOOKUP(B90,'CPF Table'!$A$13:$E$23,4,TRUE)*CPF!F90</f>
        <v>0</v>
      </c>
      <c r="I90" s="18">
        <f>VLOOKUP(B90,'CPF Table'!$A$13:$E$23,5,TRUE)*CPF!F90</f>
        <v>0</v>
      </c>
      <c r="J90" s="103">
        <f t="shared" si="2"/>
        <v>0</v>
      </c>
    </row>
    <row r="91" spans="3:10">
      <c r="C91" s="126">
        <v>0</v>
      </c>
      <c r="D91" s="127">
        <v>0</v>
      </c>
      <c r="E91" s="82">
        <f t="shared" si="3"/>
        <v>0</v>
      </c>
      <c r="F91" s="18">
        <f>IF(VLOOKUP(B91,'CPF Table'!$A$4:$G$8,5,TRUE)*CPF!C91&gt;=VLOOKUP(B91,'CPF Table'!$A$4:$G$8,6,TRUE),VLOOKUP(B91,'CPF Table'!$A$4:$G$8,5,TRUE)*C91+VLOOKUP(B91,'CPF Table'!$A$4:$G$8,5,TRUE)*CPF!D91,VLOOKUP(B91,'CPF Table'!$A$4:$G$8,5,TRUE)*CPF!C91+VLOOKUP(B91,'CPF Table'!$A$4:$G$8,5,TRUE)*CPF!D91)</f>
        <v>0</v>
      </c>
      <c r="G91" s="18">
        <f>VLOOKUP(B91,'CPF Table'!$A$13:$E$23,3,TRUE)*F91</f>
        <v>0</v>
      </c>
      <c r="H91" s="18">
        <f>VLOOKUP(B91,'CPF Table'!$A$13:$E$23,4,TRUE)*CPF!F91</f>
        <v>0</v>
      </c>
      <c r="I91" s="18">
        <f>VLOOKUP(B91,'CPF Table'!$A$13:$E$23,5,TRUE)*CPF!F91</f>
        <v>0</v>
      </c>
      <c r="J91" s="103">
        <f t="shared" si="2"/>
        <v>0</v>
      </c>
    </row>
    <row r="92" spans="3:10">
      <c r="C92" s="126">
        <v>0</v>
      </c>
      <c r="D92" s="127">
        <v>0</v>
      </c>
      <c r="E92" s="82">
        <f t="shared" si="3"/>
        <v>0</v>
      </c>
      <c r="F92" s="18">
        <f>IF(VLOOKUP(B92,'CPF Table'!$A$4:$G$8,5,TRUE)*CPF!C92&gt;=VLOOKUP(B92,'CPF Table'!$A$4:$G$8,6,TRUE),VLOOKUP(B92,'CPF Table'!$A$4:$G$8,5,TRUE)*C92+VLOOKUP(B92,'CPF Table'!$A$4:$G$8,5,TRUE)*CPF!D92,VLOOKUP(B92,'CPF Table'!$A$4:$G$8,5,TRUE)*CPF!C92+VLOOKUP(B92,'CPF Table'!$A$4:$G$8,5,TRUE)*CPF!D92)</f>
        <v>0</v>
      </c>
      <c r="G92" s="18">
        <f>VLOOKUP(B92,'CPF Table'!$A$13:$E$23,3,TRUE)*F92</f>
        <v>0</v>
      </c>
      <c r="H92" s="18">
        <f>VLOOKUP(B92,'CPF Table'!$A$13:$E$23,4,TRUE)*CPF!F92</f>
        <v>0</v>
      </c>
      <c r="I92" s="18">
        <f>VLOOKUP(B92,'CPF Table'!$A$13:$E$23,5,TRUE)*CPF!F92</f>
        <v>0</v>
      </c>
      <c r="J92" s="103">
        <f t="shared" si="2"/>
        <v>0</v>
      </c>
    </row>
    <row r="93" spans="3:10">
      <c r="C93" s="126">
        <v>0</v>
      </c>
      <c r="D93" s="127">
        <v>0</v>
      </c>
      <c r="E93" s="82">
        <f t="shared" si="3"/>
        <v>0</v>
      </c>
      <c r="F93" s="18">
        <f>IF(VLOOKUP(B93,'CPF Table'!$A$4:$G$8,5,TRUE)*CPF!C93&gt;=VLOOKUP(B93,'CPF Table'!$A$4:$G$8,6,TRUE),VLOOKUP(B93,'CPF Table'!$A$4:$G$8,5,TRUE)*C93+VLOOKUP(B93,'CPF Table'!$A$4:$G$8,5,TRUE)*CPF!D93,VLOOKUP(B93,'CPF Table'!$A$4:$G$8,5,TRUE)*CPF!C93+VLOOKUP(B93,'CPF Table'!$A$4:$G$8,5,TRUE)*CPF!D93)</f>
        <v>0</v>
      </c>
      <c r="G93" s="18">
        <f>VLOOKUP(B93,'CPF Table'!$A$13:$E$23,3,TRUE)*F93</f>
        <v>0</v>
      </c>
      <c r="H93" s="18">
        <f>VLOOKUP(B93,'CPF Table'!$A$13:$E$23,4,TRUE)*CPF!F93</f>
        <v>0</v>
      </c>
      <c r="I93" s="18">
        <f>VLOOKUP(B93,'CPF Table'!$A$13:$E$23,5,TRUE)*CPF!F93</f>
        <v>0</v>
      </c>
      <c r="J93" s="103">
        <f t="shared" si="2"/>
        <v>0</v>
      </c>
    </row>
    <row r="94" spans="3:10">
      <c r="C94" s="126">
        <v>0</v>
      </c>
      <c r="D94" s="127">
        <v>0</v>
      </c>
      <c r="E94" s="82">
        <f t="shared" si="3"/>
        <v>0</v>
      </c>
      <c r="F94" s="18">
        <f>IF(VLOOKUP(B94,'CPF Table'!$A$4:$G$8,5,TRUE)*CPF!C94&gt;=VLOOKUP(B94,'CPF Table'!$A$4:$G$8,6,TRUE),VLOOKUP(B94,'CPF Table'!$A$4:$G$8,5,TRUE)*C94+VLOOKUP(B94,'CPF Table'!$A$4:$G$8,5,TRUE)*CPF!D94,VLOOKUP(B94,'CPF Table'!$A$4:$G$8,5,TRUE)*CPF!C94+VLOOKUP(B94,'CPF Table'!$A$4:$G$8,5,TRUE)*CPF!D94)</f>
        <v>0</v>
      </c>
      <c r="G94" s="18">
        <f>VLOOKUP(B94,'CPF Table'!$A$13:$E$23,3,TRUE)*F94</f>
        <v>0</v>
      </c>
      <c r="H94" s="18">
        <f>VLOOKUP(B94,'CPF Table'!$A$13:$E$23,4,TRUE)*CPF!F94</f>
        <v>0</v>
      </c>
      <c r="I94" s="18">
        <f>VLOOKUP(B94,'CPF Table'!$A$13:$E$23,5,TRUE)*CPF!F94</f>
        <v>0</v>
      </c>
      <c r="J94" s="103">
        <f t="shared" si="2"/>
        <v>0</v>
      </c>
    </row>
    <row r="95" spans="3:10">
      <c r="C95" s="126">
        <v>0</v>
      </c>
      <c r="D95" s="127">
        <v>0</v>
      </c>
      <c r="E95" s="82">
        <f t="shared" si="3"/>
        <v>0</v>
      </c>
      <c r="F95" s="18">
        <f>IF(VLOOKUP(B95,'CPF Table'!$A$4:$G$8,5,TRUE)*CPF!C95&gt;=VLOOKUP(B95,'CPF Table'!$A$4:$G$8,6,TRUE),VLOOKUP(B95,'CPF Table'!$A$4:$G$8,5,TRUE)*C95+VLOOKUP(B95,'CPF Table'!$A$4:$G$8,5,TRUE)*CPF!D95,VLOOKUP(B95,'CPF Table'!$A$4:$G$8,5,TRUE)*CPF!C95+VLOOKUP(B95,'CPF Table'!$A$4:$G$8,5,TRUE)*CPF!D95)</f>
        <v>0</v>
      </c>
      <c r="G95" s="18">
        <f>VLOOKUP(B95,'CPF Table'!$A$13:$E$23,3,TRUE)*F95</f>
        <v>0</v>
      </c>
      <c r="H95" s="18">
        <f>VLOOKUP(B95,'CPF Table'!$A$13:$E$23,4,TRUE)*CPF!F95</f>
        <v>0</v>
      </c>
      <c r="I95" s="18">
        <f>VLOOKUP(B95,'CPF Table'!$A$13:$E$23,5,TRUE)*CPF!F95</f>
        <v>0</v>
      </c>
      <c r="J95" s="103">
        <f t="shared" si="2"/>
        <v>0</v>
      </c>
    </row>
    <row r="96" spans="3:10">
      <c r="C96" s="126">
        <v>0</v>
      </c>
      <c r="D96" s="127">
        <v>0</v>
      </c>
      <c r="E96" s="82">
        <f t="shared" si="3"/>
        <v>0</v>
      </c>
      <c r="F96" s="18">
        <f>IF(VLOOKUP(B96,'CPF Table'!$A$4:$G$8,5,TRUE)*CPF!C96&gt;=VLOOKUP(B96,'CPF Table'!$A$4:$G$8,6,TRUE),VLOOKUP(B96,'CPF Table'!$A$4:$G$8,5,TRUE)*C96+VLOOKUP(B96,'CPF Table'!$A$4:$G$8,5,TRUE)*CPF!D96,VLOOKUP(B96,'CPF Table'!$A$4:$G$8,5,TRUE)*CPF!C96+VLOOKUP(B96,'CPF Table'!$A$4:$G$8,5,TRUE)*CPF!D96)</f>
        <v>0</v>
      </c>
      <c r="G96" s="18">
        <f>VLOOKUP(B96,'CPF Table'!$A$13:$E$23,3,TRUE)*F96</f>
        <v>0</v>
      </c>
      <c r="H96" s="18">
        <f>VLOOKUP(B96,'CPF Table'!$A$13:$E$23,4,TRUE)*CPF!F96</f>
        <v>0</v>
      </c>
      <c r="I96" s="18">
        <f>VLOOKUP(B96,'CPF Table'!$A$13:$E$23,5,TRUE)*CPF!F96</f>
        <v>0</v>
      </c>
      <c r="J96" s="103">
        <f t="shared" si="2"/>
        <v>0</v>
      </c>
    </row>
    <row r="97" spans="3:10">
      <c r="C97" s="126">
        <v>0</v>
      </c>
      <c r="D97" s="127">
        <v>0</v>
      </c>
      <c r="E97" s="82">
        <f t="shared" si="3"/>
        <v>0</v>
      </c>
      <c r="F97" s="18">
        <f>IF(VLOOKUP(B97,'CPF Table'!$A$4:$G$8,5,TRUE)*CPF!C97&gt;=VLOOKUP(B97,'CPF Table'!$A$4:$G$8,6,TRUE),VLOOKUP(B97,'CPF Table'!$A$4:$G$8,5,TRUE)*C97+VLOOKUP(B97,'CPF Table'!$A$4:$G$8,5,TRUE)*CPF!D97,VLOOKUP(B97,'CPF Table'!$A$4:$G$8,5,TRUE)*CPF!C97+VLOOKUP(B97,'CPF Table'!$A$4:$G$8,5,TRUE)*CPF!D97)</f>
        <v>0</v>
      </c>
      <c r="G97" s="18">
        <f>VLOOKUP(B97,'CPF Table'!$A$13:$E$23,3,TRUE)*F97</f>
        <v>0</v>
      </c>
      <c r="H97" s="18">
        <f>VLOOKUP(B97,'CPF Table'!$A$13:$E$23,4,TRUE)*CPF!F97</f>
        <v>0</v>
      </c>
      <c r="I97" s="18">
        <f>VLOOKUP(B97,'CPF Table'!$A$13:$E$23,5,TRUE)*CPF!F97</f>
        <v>0</v>
      </c>
      <c r="J97" s="103">
        <f t="shared" si="2"/>
        <v>0</v>
      </c>
    </row>
    <row r="98" spans="3:10">
      <c r="C98" s="126">
        <v>0</v>
      </c>
      <c r="D98" s="127">
        <v>0</v>
      </c>
      <c r="E98" s="82">
        <f t="shared" si="3"/>
        <v>0</v>
      </c>
      <c r="F98" s="18">
        <f>IF(VLOOKUP(B98,'CPF Table'!$A$4:$G$8,5,TRUE)*CPF!C98&gt;=VLOOKUP(B98,'CPF Table'!$A$4:$G$8,6,TRUE),VLOOKUP(B98,'CPF Table'!$A$4:$G$8,5,TRUE)*C98+VLOOKUP(B98,'CPF Table'!$A$4:$G$8,5,TRUE)*CPF!D98,VLOOKUP(B98,'CPF Table'!$A$4:$G$8,5,TRUE)*CPF!C98+VLOOKUP(B98,'CPF Table'!$A$4:$G$8,5,TRUE)*CPF!D98)</f>
        <v>0</v>
      </c>
      <c r="G98" s="18">
        <f>VLOOKUP(B98,'CPF Table'!$A$13:$E$23,3,TRUE)*F98</f>
        <v>0</v>
      </c>
      <c r="H98" s="18">
        <f>VLOOKUP(B98,'CPF Table'!$A$13:$E$23,4,TRUE)*CPF!F98</f>
        <v>0</v>
      </c>
      <c r="I98" s="18">
        <f>VLOOKUP(B98,'CPF Table'!$A$13:$E$23,5,TRUE)*CPF!F98</f>
        <v>0</v>
      </c>
      <c r="J98" s="103">
        <f t="shared" si="2"/>
        <v>0</v>
      </c>
    </row>
    <row r="99" spans="3:10">
      <c r="C99" s="126">
        <v>0</v>
      </c>
      <c r="D99" s="127">
        <v>0</v>
      </c>
      <c r="E99" s="82">
        <f t="shared" si="3"/>
        <v>0</v>
      </c>
      <c r="F99" s="18">
        <f>IF(VLOOKUP(B99,'CPF Table'!$A$4:$G$8,5,TRUE)*CPF!C99&gt;=VLOOKUP(B99,'CPF Table'!$A$4:$G$8,6,TRUE),VLOOKUP(B99,'CPF Table'!$A$4:$G$8,5,TRUE)*C99+VLOOKUP(B99,'CPF Table'!$A$4:$G$8,5,TRUE)*CPF!D99,VLOOKUP(B99,'CPF Table'!$A$4:$G$8,5,TRUE)*CPF!C99+VLOOKUP(B99,'CPF Table'!$A$4:$G$8,5,TRUE)*CPF!D99)</f>
        <v>0</v>
      </c>
      <c r="G99" s="18">
        <f>VLOOKUP(B99,'CPF Table'!$A$13:$E$23,3,TRUE)*F99</f>
        <v>0</v>
      </c>
      <c r="H99" s="18">
        <f>VLOOKUP(B99,'CPF Table'!$A$13:$E$23,4,TRUE)*CPF!F99</f>
        <v>0</v>
      </c>
      <c r="I99" s="18">
        <f>VLOOKUP(B99,'CPF Table'!$A$13:$E$23,5,TRUE)*CPF!F99</f>
        <v>0</v>
      </c>
      <c r="J99" s="103">
        <f t="shared" si="2"/>
        <v>0</v>
      </c>
    </row>
    <row r="100" spans="3:10">
      <c r="C100" s="126">
        <v>0</v>
      </c>
      <c r="D100" s="127">
        <v>0</v>
      </c>
      <c r="E100" s="82">
        <f t="shared" si="3"/>
        <v>0</v>
      </c>
      <c r="F100" s="18">
        <f>IF(VLOOKUP(B100,'CPF Table'!$A$4:$G$8,5,TRUE)*CPF!C100&gt;=VLOOKUP(B100,'CPF Table'!$A$4:$G$8,6,TRUE),VLOOKUP(B100,'CPF Table'!$A$4:$G$8,5,TRUE)*C100+VLOOKUP(B100,'CPF Table'!$A$4:$G$8,5,TRUE)*CPF!D100,VLOOKUP(B100,'CPF Table'!$A$4:$G$8,5,TRUE)*CPF!C100+VLOOKUP(B100,'CPF Table'!$A$4:$G$8,5,TRUE)*CPF!D100)</f>
        <v>0</v>
      </c>
      <c r="G100" s="18">
        <f>VLOOKUP(B100,'CPF Table'!$A$13:$E$23,3,TRUE)*F100</f>
        <v>0</v>
      </c>
      <c r="H100" s="18">
        <f>VLOOKUP(B100,'CPF Table'!$A$13:$E$23,4,TRUE)*CPF!F100</f>
        <v>0</v>
      </c>
      <c r="I100" s="18">
        <f>VLOOKUP(B100,'CPF Table'!$A$13:$E$23,5,TRUE)*CPF!F100</f>
        <v>0</v>
      </c>
      <c r="J100" s="103">
        <f t="shared" si="2"/>
        <v>0</v>
      </c>
    </row>
    <row r="101" spans="3:10">
      <c r="C101" s="126">
        <v>0</v>
      </c>
      <c r="D101" s="127">
        <v>0</v>
      </c>
      <c r="E101" s="82">
        <f t="shared" si="3"/>
        <v>0</v>
      </c>
      <c r="F101" s="18">
        <f>IF(VLOOKUP(B101,'CPF Table'!$A$4:$G$8,5,TRUE)*CPF!C101&gt;=VLOOKUP(B101,'CPF Table'!$A$4:$G$8,6,TRUE),VLOOKUP(B101,'CPF Table'!$A$4:$G$8,5,TRUE)*C101+VLOOKUP(B101,'CPF Table'!$A$4:$G$8,5,TRUE)*CPF!D101,VLOOKUP(B101,'CPF Table'!$A$4:$G$8,5,TRUE)*CPF!C101+VLOOKUP(B101,'CPF Table'!$A$4:$G$8,5,TRUE)*CPF!D101)</f>
        <v>0</v>
      </c>
      <c r="G101" s="18">
        <f>VLOOKUP(B101,'CPF Table'!$A$13:$E$23,3,TRUE)*F101</f>
        <v>0</v>
      </c>
      <c r="H101" s="18">
        <f>VLOOKUP(B101,'CPF Table'!$A$13:$E$23,4,TRUE)*CPF!F101</f>
        <v>0</v>
      </c>
      <c r="I101" s="18">
        <f>VLOOKUP(B101,'CPF Table'!$A$13:$E$23,5,TRUE)*CPF!F101</f>
        <v>0</v>
      </c>
      <c r="J101" s="103">
        <f t="shared" si="2"/>
        <v>0</v>
      </c>
    </row>
    <row r="102" spans="3:10">
      <c r="C102" s="126">
        <v>0</v>
      </c>
      <c r="D102" s="127">
        <v>0</v>
      </c>
      <c r="E102" s="82">
        <f t="shared" si="3"/>
        <v>0</v>
      </c>
      <c r="F102" s="18">
        <f>IF(VLOOKUP(B102,'CPF Table'!$A$4:$G$8,5,TRUE)*CPF!C102&gt;=VLOOKUP(B102,'CPF Table'!$A$4:$G$8,6,TRUE),VLOOKUP(B102,'CPF Table'!$A$4:$G$8,5,TRUE)*C102+VLOOKUP(B102,'CPF Table'!$A$4:$G$8,5,TRUE)*CPF!D102,VLOOKUP(B102,'CPF Table'!$A$4:$G$8,5,TRUE)*CPF!C102+VLOOKUP(B102,'CPF Table'!$A$4:$G$8,5,TRUE)*CPF!D102)</f>
        <v>0</v>
      </c>
      <c r="G102" s="18">
        <f>VLOOKUP(B102,'CPF Table'!$A$13:$E$23,3,TRUE)*F102</f>
        <v>0</v>
      </c>
      <c r="H102" s="18">
        <f>VLOOKUP(B102,'CPF Table'!$A$13:$E$23,4,TRUE)*CPF!F102</f>
        <v>0</v>
      </c>
      <c r="I102" s="18">
        <f>VLOOKUP(B102,'CPF Table'!$A$13:$E$23,5,TRUE)*CPF!F102</f>
        <v>0</v>
      </c>
      <c r="J102" s="103">
        <f t="shared" si="2"/>
        <v>0</v>
      </c>
    </row>
    <row r="103" spans="3:10">
      <c r="C103" s="126">
        <v>0</v>
      </c>
      <c r="D103" s="127">
        <v>0</v>
      </c>
      <c r="E103" s="82">
        <f t="shared" si="3"/>
        <v>0</v>
      </c>
      <c r="F103" s="18">
        <f>IF(VLOOKUP(B103,'CPF Table'!$A$4:$G$8,5,TRUE)*CPF!C103&gt;=VLOOKUP(B103,'CPF Table'!$A$4:$G$8,6,TRUE),VLOOKUP(B103,'CPF Table'!$A$4:$G$8,5,TRUE)*C103+VLOOKUP(B103,'CPF Table'!$A$4:$G$8,5,TRUE)*CPF!D103,VLOOKUP(B103,'CPF Table'!$A$4:$G$8,5,TRUE)*CPF!C103+VLOOKUP(B103,'CPF Table'!$A$4:$G$8,5,TRUE)*CPF!D103)</f>
        <v>0</v>
      </c>
      <c r="G103" s="18">
        <f>VLOOKUP(B103,'CPF Table'!$A$13:$E$23,3,TRUE)*F103</f>
        <v>0</v>
      </c>
      <c r="H103" s="18">
        <f>VLOOKUP(B103,'CPF Table'!$A$13:$E$23,4,TRUE)*CPF!F103</f>
        <v>0</v>
      </c>
      <c r="I103" s="18">
        <f>VLOOKUP(B103,'CPF Table'!$A$13:$E$23,5,TRUE)*CPF!F103</f>
        <v>0</v>
      </c>
      <c r="J103" s="103">
        <f t="shared" si="2"/>
        <v>0</v>
      </c>
    </row>
    <row r="104" spans="3:10">
      <c r="C104" s="126">
        <v>0</v>
      </c>
      <c r="D104" s="127">
        <v>0</v>
      </c>
      <c r="E104" s="82">
        <f t="shared" si="3"/>
        <v>0</v>
      </c>
      <c r="F104" s="18">
        <f>IF(VLOOKUP(B104,'CPF Table'!$A$4:$G$8,5,TRUE)*CPF!C104&gt;=VLOOKUP(B104,'CPF Table'!$A$4:$G$8,6,TRUE),VLOOKUP(B104,'CPF Table'!$A$4:$G$8,5,TRUE)*C104+VLOOKUP(B104,'CPF Table'!$A$4:$G$8,5,TRUE)*CPF!D104,VLOOKUP(B104,'CPF Table'!$A$4:$G$8,5,TRUE)*CPF!C104+VLOOKUP(B104,'CPF Table'!$A$4:$G$8,5,TRUE)*CPF!D104)</f>
        <v>0</v>
      </c>
      <c r="G104" s="18">
        <f>VLOOKUP(B104,'CPF Table'!$A$13:$E$23,3,TRUE)*F104</f>
        <v>0</v>
      </c>
      <c r="H104" s="18">
        <f>VLOOKUP(B104,'CPF Table'!$A$13:$E$23,4,TRUE)*CPF!F104</f>
        <v>0</v>
      </c>
      <c r="I104" s="18">
        <f>VLOOKUP(B104,'CPF Table'!$A$13:$E$23,5,TRUE)*CPF!F104</f>
        <v>0</v>
      </c>
      <c r="J104" s="103">
        <f t="shared" si="2"/>
        <v>0</v>
      </c>
    </row>
    <row r="105" spans="3:10">
      <c r="C105" s="126">
        <v>0</v>
      </c>
      <c r="D105" s="127">
        <v>0</v>
      </c>
      <c r="E105" s="82">
        <f t="shared" si="3"/>
        <v>0</v>
      </c>
      <c r="F105" s="18">
        <f>IF(VLOOKUP(B105,'CPF Table'!$A$4:$G$8,5,TRUE)*CPF!C105&gt;=VLOOKUP(B105,'CPF Table'!$A$4:$G$8,6,TRUE),VLOOKUP(B105,'CPF Table'!$A$4:$G$8,5,TRUE)*C105+VLOOKUP(B105,'CPF Table'!$A$4:$G$8,5,TRUE)*CPF!D105,VLOOKUP(B105,'CPF Table'!$A$4:$G$8,5,TRUE)*CPF!C105+VLOOKUP(B105,'CPF Table'!$A$4:$G$8,5,TRUE)*CPF!D105)</f>
        <v>0</v>
      </c>
      <c r="G105" s="18">
        <f>VLOOKUP(B105,'CPF Table'!$A$13:$E$23,3,TRUE)*F105</f>
        <v>0</v>
      </c>
      <c r="H105" s="18">
        <f>VLOOKUP(B105,'CPF Table'!$A$13:$E$23,4,TRUE)*CPF!F105</f>
        <v>0</v>
      </c>
      <c r="I105" s="18">
        <f>VLOOKUP(B105,'CPF Table'!$A$13:$E$23,5,TRUE)*CPF!F105</f>
        <v>0</v>
      </c>
      <c r="J105" s="103">
        <f t="shared" si="2"/>
        <v>0</v>
      </c>
    </row>
    <row r="106" spans="3:10">
      <c r="C106" s="126">
        <v>0</v>
      </c>
      <c r="D106" s="127">
        <v>0</v>
      </c>
      <c r="E106" s="82">
        <f t="shared" si="3"/>
        <v>0</v>
      </c>
      <c r="F106" s="18">
        <f>IF(VLOOKUP(B106,'CPF Table'!$A$4:$G$8,5,TRUE)*CPF!C106&gt;=VLOOKUP(B106,'CPF Table'!$A$4:$G$8,6,TRUE),VLOOKUP(B106,'CPF Table'!$A$4:$G$8,5,TRUE)*C106+VLOOKUP(B106,'CPF Table'!$A$4:$G$8,5,TRUE)*CPF!D106,VLOOKUP(B106,'CPF Table'!$A$4:$G$8,5,TRUE)*CPF!C106+VLOOKUP(B106,'CPF Table'!$A$4:$G$8,5,TRUE)*CPF!D106)</f>
        <v>0</v>
      </c>
      <c r="G106" s="18">
        <f>VLOOKUP(B106,'CPF Table'!$A$13:$E$23,3,TRUE)*F106</f>
        <v>0</v>
      </c>
      <c r="H106" s="18">
        <f>VLOOKUP(B106,'CPF Table'!$A$13:$E$23,4,TRUE)*CPF!F106</f>
        <v>0</v>
      </c>
      <c r="I106" s="18">
        <f>VLOOKUP(B106,'CPF Table'!$A$13:$E$23,5,TRUE)*CPF!F106</f>
        <v>0</v>
      </c>
      <c r="J106" s="103">
        <f t="shared" si="2"/>
        <v>0</v>
      </c>
    </row>
    <row r="107" spans="3:10">
      <c r="C107" s="126">
        <v>0</v>
      </c>
      <c r="D107" s="127">
        <v>0</v>
      </c>
      <c r="E107" s="82">
        <f t="shared" si="3"/>
        <v>0</v>
      </c>
      <c r="F107" s="18">
        <f>IF(VLOOKUP(B107,'CPF Table'!$A$4:$G$8,5,TRUE)*CPF!C107&gt;=VLOOKUP(B107,'CPF Table'!$A$4:$G$8,6,TRUE),VLOOKUP(B107,'CPF Table'!$A$4:$G$8,5,TRUE)*C107+VLOOKUP(B107,'CPF Table'!$A$4:$G$8,5,TRUE)*CPF!D107,VLOOKUP(B107,'CPF Table'!$A$4:$G$8,5,TRUE)*CPF!C107+VLOOKUP(B107,'CPF Table'!$A$4:$G$8,5,TRUE)*CPF!D107)</f>
        <v>0</v>
      </c>
      <c r="G107" s="18">
        <f>VLOOKUP(B107,'CPF Table'!$A$13:$E$23,3,TRUE)*F107</f>
        <v>0</v>
      </c>
      <c r="H107" s="18">
        <f>VLOOKUP(B107,'CPF Table'!$A$13:$E$23,4,TRUE)*CPF!F107</f>
        <v>0</v>
      </c>
      <c r="I107" s="18">
        <f>VLOOKUP(B107,'CPF Table'!$A$13:$E$23,5,TRUE)*CPF!F107</f>
        <v>0</v>
      </c>
      <c r="J107" s="103">
        <f t="shared" si="2"/>
        <v>0</v>
      </c>
    </row>
    <row r="108" spans="3:10">
      <c r="C108" s="126">
        <v>0</v>
      </c>
      <c r="D108" s="127">
        <v>0</v>
      </c>
      <c r="E108" s="82">
        <f t="shared" si="3"/>
        <v>0</v>
      </c>
      <c r="F108" s="18">
        <f>IF(VLOOKUP(B108,'CPF Table'!$A$4:$G$8,5,TRUE)*CPF!C108&gt;=VLOOKUP(B108,'CPF Table'!$A$4:$G$8,6,TRUE),VLOOKUP(B108,'CPF Table'!$A$4:$G$8,5,TRUE)*C108+VLOOKUP(B108,'CPF Table'!$A$4:$G$8,5,TRUE)*CPF!D108,VLOOKUP(B108,'CPF Table'!$A$4:$G$8,5,TRUE)*CPF!C108+VLOOKUP(B108,'CPF Table'!$A$4:$G$8,5,TRUE)*CPF!D108)</f>
        <v>0</v>
      </c>
      <c r="G108" s="18">
        <f>VLOOKUP(B108,'CPF Table'!$A$13:$E$23,3,TRUE)*F108</f>
        <v>0</v>
      </c>
      <c r="H108" s="18">
        <f>VLOOKUP(B108,'CPF Table'!$A$13:$E$23,4,TRUE)*CPF!F108</f>
        <v>0</v>
      </c>
      <c r="I108" s="18">
        <f>VLOOKUP(B108,'CPF Table'!$A$13:$E$23,5,TRUE)*CPF!F108</f>
        <v>0</v>
      </c>
      <c r="J108" s="103">
        <f t="shared" si="2"/>
        <v>0</v>
      </c>
    </row>
    <row r="109" spans="3:10">
      <c r="C109" s="126">
        <v>0</v>
      </c>
      <c r="D109" s="127">
        <v>0</v>
      </c>
      <c r="E109" s="82">
        <f t="shared" si="3"/>
        <v>0</v>
      </c>
      <c r="F109" s="18">
        <f>IF(VLOOKUP(B109,'CPF Table'!$A$4:$G$8,5,TRUE)*CPF!C109&gt;=VLOOKUP(B109,'CPF Table'!$A$4:$G$8,6,TRUE),VLOOKUP(B109,'CPF Table'!$A$4:$G$8,5,TRUE)*C109+VLOOKUP(B109,'CPF Table'!$A$4:$G$8,5,TRUE)*CPF!D109,VLOOKUP(B109,'CPF Table'!$A$4:$G$8,5,TRUE)*CPF!C109+VLOOKUP(B109,'CPF Table'!$A$4:$G$8,5,TRUE)*CPF!D109)</f>
        <v>0</v>
      </c>
      <c r="G109" s="18">
        <f>VLOOKUP(B109,'CPF Table'!$A$13:$E$23,3,TRUE)*F109</f>
        <v>0</v>
      </c>
      <c r="H109" s="18">
        <f>VLOOKUP(B109,'CPF Table'!$A$13:$E$23,4,TRUE)*CPF!F109</f>
        <v>0</v>
      </c>
      <c r="I109" s="18">
        <f>VLOOKUP(B109,'CPF Table'!$A$13:$E$23,5,TRUE)*CPF!F109</f>
        <v>0</v>
      </c>
      <c r="J109" s="103">
        <f t="shared" si="2"/>
        <v>0</v>
      </c>
    </row>
    <row r="110" spans="3:10">
      <c r="C110" s="126">
        <v>0</v>
      </c>
      <c r="D110" s="127">
        <v>0</v>
      </c>
      <c r="E110" s="82">
        <f t="shared" si="3"/>
        <v>0</v>
      </c>
      <c r="F110" s="18">
        <f>IF(VLOOKUP(B110,'CPF Table'!$A$4:$G$8,5,TRUE)*CPF!C110&gt;=VLOOKUP(B110,'CPF Table'!$A$4:$G$8,6,TRUE),VLOOKUP(B110,'CPF Table'!$A$4:$G$8,5,TRUE)*C110+VLOOKUP(B110,'CPF Table'!$A$4:$G$8,5,TRUE)*CPF!D110,VLOOKUP(B110,'CPF Table'!$A$4:$G$8,5,TRUE)*CPF!C110+VLOOKUP(B110,'CPF Table'!$A$4:$G$8,5,TRUE)*CPF!D110)</f>
        <v>0</v>
      </c>
      <c r="G110" s="18">
        <f>VLOOKUP(B110,'CPF Table'!$A$13:$E$23,3,TRUE)*F110</f>
        <v>0</v>
      </c>
      <c r="H110" s="18">
        <f>VLOOKUP(B110,'CPF Table'!$A$13:$E$23,4,TRUE)*CPF!F110</f>
        <v>0</v>
      </c>
      <c r="I110" s="18">
        <f>VLOOKUP(B110,'CPF Table'!$A$13:$E$23,5,TRUE)*CPF!F110</f>
        <v>0</v>
      </c>
      <c r="J110" s="103">
        <f t="shared" si="2"/>
        <v>0</v>
      </c>
    </row>
    <row r="111" spans="3:10">
      <c r="C111" s="126">
        <v>0</v>
      </c>
      <c r="D111" s="127">
        <v>0</v>
      </c>
      <c r="E111" s="82">
        <f t="shared" si="3"/>
        <v>0</v>
      </c>
      <c r="F111" s="18">
        <f>IF(VLOOKUP(B111,'CPF Table'!$A$4:$G$8,5,TRUE)*CPF!C111&gt;=VLOOKUP(B111,'CPF Table'!$A$4:$G$8,6,TRUE),VLOOKUP(B111,'CPF Table'!$A$4:$G$8,5,TRUE)*C111+VLOOKUP(B111,'CPF Table'!$A$4:$G$8,5,TRUE)*CPF!D111,VLOOKUP(B111,'CPF Table'!$A$4:$G$8,5,TRUE)*CPF!C111+VLOOKUP(B111,'CPF Table'!$A$4:$G$8,5,TRUE)*CPF!D111)</f>
        <v>0</v>
      </c>
      <c r="G111" s="18">
        <f>VLOOKUP(B111,'CPF Table'!$A$13:$E$23,3,TRUE)*F111</f>
        <v>0</v>
      </c>
      <c r="H111" s="18">
        <f>VLOOKUP(B111,'CPF Table'!$A$13:$E$23,4,TRUE)*CPF!F111</f>
        <v>0</v>
      </c>
      <c r="I111" s="18">
        <f>VLOOKUP(B111,'CPF Table'!$A$13:$E$23,5,TRUE)*CPF!F111</f>
        <v>0</v>
      </c>
      <c r="J111" s="103">
        <f t="shared" si="2"/>
        <v>0</v>
      </c>
    </row>
    <row r="112" spans="3:10">
      <c r="C112" s="126">
        <v>0</v>
      </c>
      <c r="D112" s="127">
        <v>0</v>
      </c>
      <c r="E112" s="82">
        <f t="shared" si="3"/>
        <v>0</v>
      </c>
      <c r="F112" s="18">
        <f>IF(VLOOKUP(B112,'CPF Table'!$A$4:$G$8,5,TRUE)*CPF!C112&gt;=VLOOKUP(B112,'CPF Table'!$A$4:$G$8,6,TRUE),VLOOKUP(B112,'CPF Table'!$A$4:$G$8,5,TRUE)*C112+VLOOKUP(B112,'CPF Table'!$A$4:$G$8,5,TRUE)*CPF!D112,VLOOKUP(B112,'CPF Table'!$A$4:$G$8,5,TRUE)*CPF!C112+VLOOKUP(B112,'CPF Table'!$A$4:$G$8,5,TRUE)*CPF!D112)</f>
        <v>0</v>
      </c>
      <c r="G112" s="18">
        <f>VLOOKUP(B112,'CPF Table'!$A$13:$E$23,3,TRUE)*F112</f>
        <v>0</v>
      </c>
      <c r="H112" s="18">
        <f>VLOOKUP(B112,'CPF Table'!$A$13:$E$23,4,TRUE)*CPF!F112</f>
        <v>0</v>
      </c>
      <c r="I112" s="18">
        <f>VLOOKUP(B112,'CPF Table'!$A$13:$E$23,5,TRUE)*CPF!F112</f>
        <v>0</v>
      </c>
      <c r="J112" s="103">
        <f t="shared" si="2"/>
        <v>0</v>
      </c>
    </row>
    <row r="113" spans="3:10">
      <c r="C113" s="126">
        <v>0</v>
      </c>
      <c r="D113" s="127">
        <v>0</v>
      </c>
      <c r="E113" s="82">
        <f t="shared" si="3"/>
        <v>0</v>
      </c>
      <c r="F113" s="18">
        <f>IF(VLOOKUP(B113,'CPF Table'!$A$4:$G$8,5,TRUE)*CPF!C113&gt;=VLOOKUP(B113,'CPF Table'!$A$4:$G$8,6,TRUE),VLOOKUP(B113,'CPF Table'!$A$4:$G$8,5,TRUE)*C113+VLOOKUP(B113,'CPF Table'!$A$4:$G$8,5,TRUE)*CPF!D113,VLOOKUP(B113,'CPF Table'!$A$4:$G$8,5,TRUE)*CPF!C113+VLOOKUP(B113,'CPF Table'!$A$4:$G$8,5,TRUE)*CPF!D113)</f>
        <v>0</v>
      </c>
      <c r="G113" s="18">
        <f>VLOOKUP(B113,'CPF Table'!$A$13:$E$23,3,TRUE)*F113</f>
        <v>0</v>
      </c>
      <c r="H113" s="18">
        <f>VLOOKUP(B113,'CPF Table'!$A$13:$E$23,4,TRUE)*CPF!F113</f>
        <v>0</v>
      </c>
      <c r="I113" s="18">
        <f>VLOOKUP(B113,'CPF Table'!$A$13:$E$23,5,TRUE)*CPF!F113</f>
        <v>0</v>
      </c>
      <c r="J113" s="103">
        <f t="shared" si="2"/>
        <v>0</v>
      </c>
    </row>
    <row r="114" spans="3:10">
      <c r="C114" s="126">
        <v>0</v>
      </c>
      <c r="D114" s="127">
        <v>0</v>
      </c>
      <c r="E114" s="82">
        <f t="shared" si="3"/>
        <v>0</v>
      </c>
      <c r="F114" s="18">
        <f>IF(VLOOKUP(B114,'CPF Table'!$A$4:$G$8,5,TRUE)*CPF!C114&gt;=VLOOKUP(B114,'CPF Table'!$A$4:$G$8,6,TRUE),VLOOKUP(B114,'CPF Table'!$A$4:$G$8,5,TRUE)*C114+VLOOKUP(B114,'CPF Table'!$A$4:$G$8,5,TRUE)*CPF!D114,VLOOKUP(B114,'CPF Table'!$A$4:$G$8,5,TRUE)*CPF!C114+VLOOKUP(B114,'CPF Table'!$A$4:$G$8,5,TRUE)*CPF!D114)</f>
        <v>0</v>
      </c>
      <c r="G114" s="18">
        <f>VLOOKUP(B114,'CPF Table'!$A$13:$E$23,3,TRUE)*F114</f>
        <v>0</v>
      </c>
      <c r="H114" s="18">
        <f>VLOOKUP(B114,'CPF Table'!$A$13:$E$23,4,TRUE)*CPF!F114</f>
        <v>0</v>
      </c>
      <c r="I114" s="18">
        <f>VLOOKUP(B114,'CPF Table'!$A$13:$E$23,5,TRUE)*CPF!F114</f>
        <v>0</v>
      </c>
      <c r="J114" s="103">
        <f t="shared" si="2"/>
        <v>0</v>
      </c>
    </row>
    <row r="115" spans="3:10">
      <c r="C115" s="126">
        <v>0</v>
      </c>
      <c r="D115" s="127">
        <v>0</v>
      </c>
      <c r="E115" s="82">
        <f t="shared" si="3"/>
        <v>0</v>
      </c>
      <c r="F115" s="18">
        <f>IF(VLOOKUP(B115,'CPF Table'!$A$4:$G$8,5,TRUE)*CPF!C115&gt;=VLOOKUP(B115,'CPF Table'!$A$4:$G$8,6,TRUE),VLOOKUP(B115,'CPF Table'!$A$4:$G$8,5,TRUE)*C115+VLOOKUP(B115,'CPF Table'!$A$4:$G$8,5,TRUE)*CPF!D115,VLOOKUP(B115,'CPF Table'!$A$4:$G$8,5,TRUE)*CPF!C115+VLOOKUP(B115,'CPF Table'!$A$4:$G$8,5,TRUE)*CPF!D115)</f>
        <v>0</v>
      </c>
      <c r="G115" s="18">
        <f>VLOOKUP(B115,'CPF Table'!$A$13:$E$23,3,TRUE)*F115</f>
        <v>0</v>
      </c>
      <c r="H115" s="18">
        <f>VLOOKUP(B115,'CPF Table'!$A$13:$E$23,4,TRUE)*CPF!F115</f>
        <v>0</v>
      </c>
      <c r="I115" s="18">
        <f>VLOOKUP(B115,'CPF Table'!$A$13:$E$23,5,TRUE)*CPF!F115</f>
        <v>0</v>
      </c>
      <c r="J115" s="103">
        <f t="shared" si="2"/>
        <v>0</v>
      </c>
    </row>
    <row r="116" spans="3:10">
      <c r="C116" s="126">
        <v>0</v>
      </c>
      <c r="D116" s="127">
        <v>0</v>
      </c>
      <c r="E116" s="82">
        <f t="shared" si="3"/>
        <v>0</v>
      </c>
      <c r="F116" s="18">
        <f>IF(VLOOKUP(B116,'CPF Table'!$A$4:$G$8,5,TRUE)*CPF!C116&gt;=VLOOKUP(B116,'CPF Table'!$A$4:$G$8,6,TRUE),VLOOKUP(B116,'CPF Table'!$A$4:$G$8,5,TRUE)*C116+VLOOKUP(B116,'CPF Table'!$A$4:$G$8,5,TRUE)*CPF!D116,VLOOKUP(B116,'CPF Table'!$A$4:$G$8,5,TRUE)*CPF!C116+VLOOKUP(B116,'CPF Table'!$A$4:$G$8,5,TRUE)*CPF!D116)</f>
        <v>0</v>
      </c>
      <c r="G116" s="18">
        <f>VLOOKUP(B116,'CPF Table'!$A$13:$E$23,3,TRUE)*F116</f>
        <v>0</v>
      </c>
      <c r="H116" s="18">
        <f>VLOOKUP(B116,'CPF Table'!$A$13:$E$23,4,TRUE)*CPF!F116</f>
        <v>0</v>
      </c>
      <c r="I116" s="18">
        <f>VLOOKUP(B116,'CPF Table'!$A$13:$E$23,5,TRUE)*CPF!F116</f>
        <v>0</v>
      </c>
      <c r="J116" s="103">
        <f t="shared" si="2"/>
        <v>0</v>
      </c>
    </row>
    <row r="117" spans="3:10">
      <c r="C117" s="126">
        <v>0</v>
      </c>
      <c r="D117" s="127">
        <v>0</v>
      </c>
      <c r="E117" s="82">
        <f t="shared" si="3"/>
        <v>0</v>
      </c>
      <c r="F117" s="18">
        <f>IF(VLOOKUP(B117,'CPF Table'!$A$4:$G$8,5,TRUE)*CPF!C117&gt;=VLOOKUP(B117,'CPF Table'!$A$4:$G$8,6,TRUE),VLOOKUP(B117,'CPF Table'!$A$4:$G$8,5,TRUE)*C117+VLOOKUP(B117,'CPF Table'!$A$4:$G$8,5,TRUE)*CPF!D117,VLOOKUP(B117,'CPF Table'!$A$4:$G$8,5,TRUE)*CPF!C117+VLOOKUP(B117,'CPF Table'!$A$4:$G$8,5,TRUE)*CPF!D117)</f>
        <v>0</v>
      </c>
      <c r="G117" s="18">
        <f>VLOOKUP(B117,'CPF Table'!$A$13:$E$23,3,TRUE)*F117</f>
        <v>0</v>
      </c>
      <c r="H117" s="18">
        <f>VLOOKUP(B117,'CPF Table'!$A$13:$E$23,4,TRUE)*CPF!F117</f>
        <v>0</v>
      </c>
      <c r="I117" s="18">
        <f>VLOOKUP(B117,'CPF Table'!$A$13:$E$23,5,TRUE)*CPF!F117</f>
        <v>0</v>
      </c>
      <c r="J117" s="103">
        <f t="shared" si="2"/>
        <v>0</v>
      </c>
    </row>
    <row r="118" spans="3:10">
      <c r="C118" s="126">
        <v>0</v>
      </c>
      <c r="D118" s="127">
        <v>0</v>
      </c>
      <c r="E118" s="82">
        <f t="shared" si="3"/>
        <v>0</v>
      </c>
      <c r="F118" s="18">
        <f>IF(VLOOKUP(B118,'CPF Table'!$A$4:$G$8,5,TRUE)*CPF!C118&gt;=VLOOKUP(B118,'CPF Table'!$A$4:$G$8,6,TRUE),VLOOKUP(B118,'CPF Table'!$A$4:$G$8,5,TRUE)*C118+VLOOKUP(B118,'CPF Table'!$A$4:$G$8,5,TRUE)*CPF!D118,VLOOKUP(B118,'CPF Table'!$A$4:$G$8,5,TRUE)*CPF!C118+VLOOKUP(B118,'CPF Table'!$A$4:$G$8,5,TRUE)*CPF!D118)</f>
        <v>0</v>
      </c>
      <c r="G118" s="18">
        <f>VLOOKUP(B118,'CPF Table'!$A$13:$E$23,3,TRUE)*F118</f>
        <v>0</v>
      </c>
      <c r="H118" s="18">
        <f>VLOOKUP(B118,'CPF Table'!$A$13:$E$23,4,TRUE)*CPF!F118</f>
        <v>0</v>
      </c>
      <c r="I118" s="18">
        <f>VLOOKUP(B118,'CPF Table'!$A$13:$E$23,5,TRUE)*CPF!F118</f>
        <v>0</v>
      </c>
      <c r="J118" s="103">
        <f t="shared" si="2"/>
        <v>0</v>
      </c>
    </row>
    <row r="119" spans="3:10">
      <c r="C119" s="126">
        <v>0</v>
      </c>
      <c r="D119" s="127">
        <v>0</v>
      </c>
      <c r="E119" s="82">
        <f t="shared" si="3"/>
        <v>0</v>
      </c>
      <c r="F119" s="18">
        <f>IF(VLOOKUP(B119,'CPF Table'!$A$4:$G$8,5,TRUE)*CPF!C119&gt;=VLOOKUP(B119,'CPF Table'!$A$4:$G$8,6,TRUE),VLOOKUP(B119,'CPF Table'!$A$4:$G$8,5,TRUE)*C119+VLOOKUP(B119,'CPF Table'!$A$4:$G$8,5,TRUE)*CPF!D119,VLOOKUP(B119,'CPF Table'!$A$4:$G$8,5,TRUE)*CPF!C119+VLOOKUP(B119,'CPF Table'!$A$4:$G$8,5,TRUE)*CPF!D119)</f>
        <v>0</v>
      </c>
      <c r="G119" s="18">
        <f>VLOOKUP(B119,'CPF Table'!$A$13:$E$23,3,TRUE)*F119</f>
        <v>0</v>
      </c>
      <c r="H119" s="18">
        <f>VLOOKUP(B119,'CPF Table'!$A$13:$E$23,4,TRUE)*CPF!F119</f>
        <v>0</v>
      </c>
      <c r="I119" s="18">
        <f>VLOOKUP(B119,'CPF Table'!$A$13:$E$23,5,TRUE)*CPF!F119</f>
        <v>0</v>
      </c>
      <c r="J119" s="103">
        <f t="shared" si="2"/>
        <v>0</v>
      </c>
    </row>
    <row r="120" spans="3:10">
      <c r="C120" s="126">
        <v>0</v>
      </c>
      <c r="D120" s="127">
        <v>0</v>
      </c>
      <c r="E120" s="82">
        <f t="shared" si="3"/>
        <v>0</v>
      </c>
      <c r="F120" s="18">
        <f>IF(VLOOKUP(B120,'CPF Table'!$A$4:$G$8,5,TRUE)*CPF!C120&gt;=VLOOKUP(B120,'CPF Table'!$A$4:$G$8,6,TRUE),VLOOKUP(B120,'CPF Table'!$A$4:$G$8,5,TRUE)*C120+VLOOKUP(B120,'CPF Table'!$A$4:$G$8,5,TRUE)*CPF!D120,VLOOKUP(B120,'CPF Table'!$A$4:$G$8,5,TRUE)*CPF!C120+VLOOKUP(B120,'CPF Table'!$A$4:$G$8,5,TRUE)*CPF!D120)</f>
        <v>0</v>
      </c>
      <c r="G120" s="18">
        <f>VLOOKUP(B120,'CPF Table'!$A$13:$E$23,3,TRUE)*F120</f>
        <v>0</v>
      </c>
      <c r="H120" s="18">
        <f>VLOOKUP(B120,'CPF Table'!$A$13:$E$23,4,TRUE)*CPF!F120</f>
        <v>0</v>
      </c>
      <c r="I120" s="18">
        <f>VLOOKUP(B120,'CPF Table'!$A$13:$E$23,5,TRUE)*CPF!F120</f>
        <v>0</v>
      </c>
      <c r="J120" s="103">
        <f t="shared" si="2"/>
        <v>0</v>
      </c>
    </row>
    <row r="121" spans="3:10">
      <c r="C121" s="126">
        <v>0</v>
      </c>
      <c r="D121" s="127">
        <v>0</v>
      </c>
      <c r="E121" s="82">
        <f t="shared" si="3"/>
        <v>0</v>
      </c>
      <c r="F121" s="18">
        <f>IF(VLOOKUP(B121,'CPF Table'!$A$4:$G$8,5,TRUE)*CPF!C121&gt;=VLOOKUP(B121,'CPF Table'!$A$4:$G$8,6,TRUE),VLOOKUP(B121,'CPF Table'!$A$4:$G$8,5,TRUE)*C121+VLOOKUP(B121,'CPF Table'!$A$4:$G$8,5,TRUE)*CPF!D121,VLOOKUP(B121,'CPF Table'!$A$4:$G$8,5,TRUE)*CPF!C121+VLOOKUP(B121,'CPF Table'!$A$4:$G$8,5,TRUE)*CPF!D121)</f>
        <v>0</v>
      </c>
      <c r="G121" s="18">
        <f>VLOOKUP(B121,'CPF Table'!$A$13:$E$23,3,TRUE)*F121</f>
        <v>0</v>
      </c>
      <c r="H121" s="18">
        <f>VLOOKUP(B121,'CPF Table'!$A$13:$E$23,4,TRUE)*CPF!F121</f>
        <v>0</v>
      </c>
      <c r="I121" s="18">
        <f>VLOOKUP(B121,'CPF Table'!$A$13:$E$23,5,TRUE)*CPF!F121</f>
        <v>0</v>
      </c>
      <c r="J121" s="103">
        <f t="shared" si="2"/>
        <v>0</v>
      </c>
    </row>
    <row r="122" spans="3:10">
      <c r="C122" s="126">
        <v>0</v>
      </c>
      <c r="D122" s="127">
        <v>0</v>
      </c>
      <c r="E122" s="82">
        <f t="shared" si="3"/>
        <v>0</v>
      </c>
      <c r="F122" s="18">
        <f>IF(VLOOKUP(B122,'CPF Table'!$A$4:$G$8,5,TRUE)*CPF!C122&gt;=VLOOKUP(B122,'CPF Table'!$A$4:$G$8,6,TRUE),VLOOKUP(B122,'CPF Table'!$A$4:$G$8,5,TRUE)*C122+VLOOKUP(B122,'CPF Table'!$A$4:$G$8,5,TRUE)*CPF!D122,VLOOKUP(B122,'CPF Table'!$A$4:$G$8,5,TRUE)*CPF!C122+VLOOKUP(B122,'CPF Table'!$A$4:$G$8,5,TRUE)*CPF!D122)</f>
        <v>0</v>
      </c>
      <c r="G122" s="18">
        <f>VLOOKUP(B122,'CPF Table'!$A$13:$E$23,3,TRUE)*F122</f>
        <v>0</v>
      </c>
      <c r="H122" s="18">
        <f>VLOOKUP(B122,'CPF Table'!$A$13:$E$23,4,TRUE)*CPF!F122</f>
        <v>0</v>
      </c>
      <c r="I122" s="18">
        <f>VLOOKUP(B122,'CPF Table'!$A$13:$E$23,5,TRUE)*CPF!F122</f>
        <v>0</v>
      </c>
      <c r="J122" s="103">
        <f t="shared" si="2"/>
        <v>0</v>
      </c>
    </row>
    <row r="123" spans="3:10">
      <c r="C123" s="126">
        <v>0</v>
      </c>
      <c r="D123" s="127">
        <v>0</v>
      </c>
      <c r="E123" s="82">
        <f t="shared" si="3"/>
        <v>0</v>
      </c>
      <c r="F123" s="18">
        <f>IF(VLOOKUP(B123,'CPF Table'!$A$4:$G$8,5,TRUE)*CPF!C123&gt;=VLOOKUP(B123,'CPF Table'!$A$4:$G$8,6,TRUE),VLOOKUP(B123,'CPF Table'!$A$4:$G$8,5,TRUE)*C123+VLOOKUP(B123,'CPF Table'!$A$4:$G$8,5,TRUE)*CPF!D123,VLOOKUP(B123,'CPF Table'!$A$4:$G$8,5,TRUE)*CPF!C123+VLOOKUP(B123,'CPF Table'!$A$4:$G$8,5,TRUE)*CPF!D123)</f>
        <v>0</v>
      </c>
      <c r="G123" s="18">
        <f>VLOOKUP(B123,'CPF Table'!$A$13:$E$23,3,TRUE)*F123</f>
        <v>0</v>
      </c>
      <c r="H123" s="18">
        <f>VLOOKUP(B123,'CPF Table'!$A$13:$E$23,4,TRUE)*CPF!F123</f>
        <v>0</v>
      </c>
      <c r="I123" s="18">
        <f>VLOOKUP(B123,'CPF Table'!$A$13:$E$23,5,TRUE)*CPF!F123</f>
        <v>0</v>
      </c>
      <c r="J123" s="103">
        <f t="shared" si="2"/>
        <v>0</v>
      </c>
    </row>
    <row r="124" spans="3:10">
      <c r="C124" s="126">
        <v>0</v>
      </c>
      <c r="D124" s="127">
        <v>0</v>
      </c>
      <c r="E124" s="82">
        <f t="shared" si="3"/>
        <v>0</v>
      </c>
      <c r="F124" s="18">
        <f>IF(VLOOKUP(B124,'CPF Table'!$A$4:$G$8,5,TRUE)*CPF!C124&gt;=VLOOKUP(B124,'CPF Table'!$A$4:$G$8,6,TRUE),VLOOKUP(B124,'CPF Table'!$A$4:$G$8,5,TRUE)*C124+VLOOKUP(B124,'CPF Table'!$A$4:$G$8,5,TRUE)*CPF!D124,VLOOKUP(B124,'CPF Table'!$A$4:$G$8,5,TRUE)*CPF!C124+VLOOKUP(B124,'CPF Table'!$A$4:$G$8,5,TRUE)*CPF!D124)</f>
        <v>0</v>
      </c>
      <c r="G124" s="18">
        <f>VLOOKUP(B124,'CPF Table'!$A$13:$E$23,3,TRUE)*F124</f>
        <v>0</v>
      </c>
      <c r="H124" s="18">
        <f>VLOOKUP(B124,'CPF Table'!$A$13:$E$23,4,TRUE)*CPF!F124</f>
        <v>0</v>
      </c>
      <c r="I124" s="18">
        <f>VLOOKUP(B124,'CPF Table'!$A$13:$E$23,5,TRUE)*CPF!F124</f>
        <v>0</v>
      </c>
      <c r="J124" s="103">
        <f t="shared" si="2"/>
        <v>0</v>
      </c>
    </row>
    <row r="125" spans="3:10">
      <c r="C125" s="126">
        <v>0</v>
      </c>
      <c r="D125" s="127">
        <v>0</v>
      </c>
      <c r="E125" s="82">
        <f t="shared" si="3"/>
        <v>0</v>
      </c>
      <c r="F125" s="18">
        <f>IF(VLOOKUP(B125,'CPF Table'!$A$4:$G$8,5,TRUE)*CPF!C125&gt;=VLOOKUP(B125,'CPF Table'!$A$4:$G$8,6,TRUE),VLOOKUP(B125,'CPF Table'!$A$4:$G$8,5,TRUE)*C125+VLOOKUP(B125,'CPF Table'!$A$4:$G$8,5,TRUE)*CPF!D125,VLOOKUP(B125,'CPF Table'!$A$4:$G$8,5,TRUE)*CPF!C125+VLOOKUP(B125,'CPF Table'!$A$4:$G$8,5,TRUE)*CPF!D125)</f>
        <v>0</v>
      </c>
      <c r="G125" s="18">
        <f>VLOOKUP(B125,'CPF Table'!$A$13:$E$23,3,TRUE)*F125</f>
        <v>0</v>
      </c>
      <c r="H125" s="18">
        <f>VLOOKUP(B125,'CPF Table'!$A$13:$E$23,4,TRUE)*CPF!F125</f>
        <v>0</v>
      </c>
      <c r="I125" s="18">
        <f>VLOOKUP(B125,'CPF Table'!$A$13:$E$23,5,TRUE)*CPF!F125</f>
        <v>0</v>
      </c>
      <c r="J125" s="103">
        <f t="shared" si="2"/>
        <v>0</v>
      </c>
    </row>
    <row r="126" spans="3:10">
      <c r="C126" s="126">
        <v>0</v>
      </c>
      <c r="D126" s="127">
        <v>0</v>
      </c>
      <c r="E126" s="82">
        <f t="shared" si="3"/>
        <v>0</v>
      </c>
      <c r="F126" s="18">
        <f>IF(VLOOKUP(B126,'CPF Table'!$A$4:$G$8,5,TRUE)*CPF!C126&gt;=VLOOKUP(B126,'CPF Table'!$A$4:$G$8,6,TRUE),VLOOKUP(B126,'CPF Table'!$A$4:$G$8,5,TRUE)*C126+VLOOKUP(B126,'CPF Table'!$A$4:$G$8,5,TRUE)*CPF!D126,VLOOKUP(B126,'CPF Table'!$A$4:$G$8,5,TRUE)*CPF!C126+VLOOKUP(B126,'CPF Table'!$A$4:$G$8,5,TRUE)*CPF!D126)</f>
        <v>0</v>
      </c>
      <c r="G126" s="18">
        <f>VLOOKUP(B126,'CPF Table'!$A$13:$E$23,3,TRUE)*F126</f>
        <v>0</v>
      </c>
      <c r="H126" s="18">
        <f>VLOOKUP(B126,'CPF Table'!$A$13:$E$23,4,TRUE)*CPF!F126</f>
        <v>0</v>
      </c>
      <c r="I126" s="18">
        <f>VLOOKUP(B126,'CPF Table'!$A$13:$E$23,5,TRUE)*CPF!F126</f>
        <v>0</v>
      </c>
      <c r="J126" s="103">
        <f t="shared" si="2"/>
        <v>0</v>
      </c>
    </row>
    <row r="127" spans="3:10">
      <c r="C127" s="126">
        <v>0</v>
      </c>
      <c r="D127" s="127">
        <v>0</v>
      </c>
      <c r="E127" s="82">
        <f t="shared" si="3"/>
        <v>0</v>
      </c>
      <c r="F127" s="18">
        <f>IF(VLOOKUP(B127,'CPF Table'!$A$4:$G$8,5,TRUE)*CPF!C127&gt;=VLOOKUP(B127,'CPF Table'!$A$4:$G$8,6,TRUE),VLOOKUP(B127,'CPF Table'!$A$4:$G$8,5,TRUE)*C127+VLOOKUP(B127,'CPF Table'!$A$4:$G$8,5,TRUE)*CPF!D127,VLOOKUP(B127,'CPF Table'!$A$4:$G$8,5,TRUE)*CPF!C127+VLOOKUP(B127,'CPF Table'!$A$4:$G$8,5,TRUE)*CPF!D127)</f>
        <v>0</v>
      </c>
      <c r="G127" s="18">
        <f>VLOOKUP(B127,'CPF Table'!$A$13:$E$23,3,TRUE)*F127</f>
        <v>0</v>
      </c>
      <c r="H127" s="18">
        <f>VLOOKUP(B127,'CPF Table'!$A$13:$E$23,4,TRUE)*CPF!F127</f>
        <v>0</v>
      </c>
      <c r="I127" s="18">
        <f>VLOOKUP(B127,'CPF Table'!$A$13:$E$23,5,TRUE)*CPF!F127</f>
        <v>0</v>
      </c>
      <c r="J127" s="103">
        <f t="shared" si="2"/>
        <v>0</v>
      </c>
    </row>
    <row r="128" spans="3:10">
      <c r="C128" s="126">
        <v>0</v>
      </c>
      <c r="D128" s="127">
        <v>0</v>
      </c>
      <c r="E128" s="82">
        <f t="shared" si="3"/>
        <v>0</v>
      </c>
      <c r="F128" s="18">
        <f>IF(VLOOKUP(B128,'CPF Table'!$A$4:$G$8,5,TRUE)*CPF!C128&gt;=VLOOKUP(B128,'CPF Table'!$A$4:$G$8,6,TRUE),VLOOKUP(B128,'CPF Table'!$A$4:$G$8,5,TRUE)*C128+VLOOKUP(B128,'CPF Table'!$A$4:$G$8,5,TRUE)*CPF!D128,VLOOKUP(B128,'CPF Table'!$A$4:$G$8,5,TRUE)*CPF!C128+VLOOKUP(B128,'CPF Table'!$A$4:$G$8,5,TRUE)*CPF!D128)</f>
        <v>0</v>
      </c>
      <c r="G128" s="18">
        <f>VLOOKUP(B128,'CPF Table'!$A$13:$E$23,3,TRUE)*F128</f>
        <v>0</v>
      </c>
      <c r="H128" s="18">
        <f>VLOOKUP(B128,'CPF Table'!$A$13:$E$23,4,TRUE)*CPF!F128</f>
        <v>0</v>
      </c>
      <c r="I128" s="18">
        <f>VLOOKUP(B128,'CPF Table'!$A$13:$E$23,5,TRUE)*CPF!F128</f>
        <v>0</v>
      </c>
      <c r="J128" s="103">
        <f t="shared" si="2"/>
        <v>0</v>
      </c>
    </row>
    <row r="129" spans="3:10">
      <c r="C129" s="126">
        <v>0</v>
      </c>
      <c r="D129" s="127">
        <v>0</v>
      </c>
      <c r="E129" s="82">
        <f t="shared" si="3"/>
        <v>0</v>
      </c>
      <c r="F129" s="18">
        <f>IF(VLOOKUP(B129,'CPF Table'!$A$4:$G$8,5,TRUE)*CPF!C129&gt;=VLOOKUP(B129,'CPF Table'!$A$4:$G$8,6,TRUE),VLOOKUP(B129,'CPF Table'!$A$4:$G$8,5,TRUE)*C129+VLOOKUP(B129,'CPF Table'!$A$4:$G$8,5,TRUE)*CPF!D129,VLOOKUP(B129,'CPF Table'!$A$4:$G$8,5,TRUE)*CPF!C129+VLOOKUP(B129,'CPF Table'!$A$4:$G$8,5,TRUE)*CPF!D129)</f>
        <v>0</v>
      </c>
      <c r="G129" s="18">
        <f>VLOOKUP(B129,'CPF Table'!$A$13:$E$23,3,TRUE)*F129</f>
        <v>0</v>
      </c>
      <c r="H129" s="18">
        <f>VLOOKUP(B129,'CPF Table'!$A$13:$E$23,4,TRUE)*CPF!F129</f>
        <v>0</v>
      </c>
      <c r="I129" s="18">
        <f>VLOOKUP(B129,'CPF Table'!$A$13:$E$23,5,TRUE)*CPF!F129</f>
        <v>0</v>
      </c>
      <c r="J129" s="103">
        <f t="shared" si="2"/>
        <v>0</v>
      </c>
    </row>
    <row r="130" spans="3:10">
      <c r="C130" s="126">
        <v>0</v>
      </c>
      <c r="D130" s="127">
        <v>0</v>
      </c>
      <c r="E130" s="82">
        <f t="shared" si="3"/>
        <v>0</v>
      </c>
      <c r="F130" s="18">
        <f>IF(VLOOKUP(B130,'CPF Table'!$A$4:$G$8,5,TRUE)*CPF!C130&gt;=VLOOKUP(B130,'CPF Table'!$A$4:$G$8,6,TRUE),VLOOKUP(B130,'CPF Table'!$A$4:$G$8,5,TRUE)*C130+VLOOKUP(B130,'CPF Table'!$A$4:$G$8,5,TRUE)*CPF!D130,VLOOKUP(B130,'CPF Table'!$A$4:$G$8,5,TRUE)*CPF!C130+VLOOKUP(B130,'CPF Table'!$A$4:$G$8,5,TRUE)*CPF!D130)</f>
        <v>0</v>
      </c>
      <c r="G130" s="18">
        <f>VLOOKUP(B130,'CPF Table'!$A$13:$E$23,3,TRUE)*F130</f>
        <v>0</v>
      </c>
      <c r="H130" s="18">
        <f>VLOOKUP(B130,'CPF Table'!$A$13:$E$23,4,TRUE)*CPF!F130</f>
        <v>0</v>
      </c>
      <c r="I130" s="18">
        <f>VLOOKUP(B130,'CPF Table'!$A$13:$E$23,5,TRUE)*CPF!F130</f>
        <v>0</v>
      </c>
      <c r="J130" s="103">
        <f t="shared" si="2"/>
        <v>0</v>
      </c>
    </row>
    <row r="131" spans="3:10">
      <c r="C131" s="126">
        <v>0</v>
      </c>
      <c r="D131" s="127">
        <v>0</v>
      </c>
      <c r="E131" s="82">
        <f t="shared" si="3"/>
        <v>0</v>
      </c>
      <c r="F131" s="18">
        <f>IF(VLOOKUP(B131,'CPF Table'!$A$4:$G$8,5,TRUE)*CPF!C131&gt;=VLOOKUP(B131,'CPF Table'!$A$4:$G$8,6,TRUE),VLOOKUP(B131,'CPF Table'!$A$4:$G$8,5,TRUE)*C131+VLOOKUP(B131,'CPF Table'!$A$4:$G$8,5,TRUE)*CPF!D131,VLOOKUP(B131,'CPF Table'!$A$4:$G$8,5,TRUE)*CPF!C131+VLOOKUP(B131,'CPF Table'!$A$4:$G$8,5,TRUE)*CPF!D131)</f>
        <v>0</v>
      </c>
      <c r="G131" s="18">
        <f>VLOOKUP(B131,'CPF Table'!$A$13:$E$23,3,TRUE)*F131</f>
        <v>0</v>
      </c>
      <c r="H131" s="18">
        <f>VLOOKUP(B131,'CPF Table'!$A$13:$E$23,4,TRUE)*CPF!F131</f>
        <v>0</v>
      </c>
      <c r="I131" s="18">
        <f>VLOOKUP(B131,'CPF Table'!$A$13:$E$23,5,TRUE)*CPF!F131</f>
        <v>0</v>
      </c>
      <c r="J131" s="103">
        <f t="shared" si="2"/>
        <v>0</v>
      </c>
    </row>
    <row r="132" spans="3:10">
      <c r="C132" s="126">
        <v>0</v>
      </c>
      <c r="D132" s="127">
        <v>0</v>
      </c>
      <c r="E132" s="82">
        <f t="shared" si="3"/>
        <v>0</v>
      </c>
      <c r="F132" s="18">
        <f>IF(VLOOKUP(B132,'CPF Table'!$A$4:$G$8,5,TRUE)*CPF!C132&gt;=VLOOKUP(B132,'CPF Table'!$A$4:$G$8,6,TRUE),VLOOKUP(B132,'CPF Table'!$A$4:$G$8,5,TRUE)*C132+VLOOKUP(B132,'CPF Table'!$A$4:$G$8,5,TRUE)*CPF!D132,VLOOKUP(B132,'CPF Table'!$A$4:$G$8,5,TRUE)*CPF!C132+VLOOKUP(B132,'CPF Table'!$A$4:$G$8,5,TRUE)*CPF!D132)</f>
        <v>0</v>
      </c>
      <c r="G132" s="18">
        <f>VLOOKUP(B132,'CPF Table'!$A$13:$E$23,3,TRUE)*F132</f>
        <v>0</v>
      </c>
      <c r="H132" s="18">
        <f>VLOOKUP(B132,'CPF Table'!$A$13:$E$23,4,TRUE)*CPF!F132</f>
        <v>0</v>
      </c>
      <c r="I132" s="18">
        <f>VLOOKUP(B132,'CPF Table'!$A$13:$E$23,5,TRUE)*CPF!F132</f>
        <v>0</v>
      </c>
      <c r="J132" s="103">
        <f t="shared" si="2"/>
        <v>0</v>
      </c>
    </row>
    <row r="133" spans="3:10">
      <c r="C133" s="126">
        <v>0</v>
      </c>
      <c r="D133" s="127">
        <v>0</v>
      </c>
      <c r="E133" s="82">
        <f t="shared" si="3"/>
        <v>0</v>
      </c>
      <c r="F133" s="18">
        <f>IF(VLOOKUP(B133,'CPF Table'!$A$4:$G$8,5,TRUE)*CPF!C133&gt;=VLOOKUP(B133,'CPF Table'!$A$4:$G$8,6,TRUE),VLOOKUP(B133,'CPF Table'!$A$4:$G$8,5,TRUE)*C133+VLOOKUP(B133,'CPF Table'!$A$4:$G$8,5,TRUE)*CPF!D133,VLOOKUP(B133,'CPF Table'!$A$4:$G$8,5,TRUE)*CPF!C133+VLOOKUP(B133,'CPF Table'!$A$4:$G$8,5,TRUE)*CPF!D133)</f>
        <v>0</v>
      </c>
      <c r="G133" s="18">
        <f>VLOOKUP(B133,'CPF Table'!$A$13:$E$23,3,TRUE)*F133</f>
        <v>0</v>
      </c>
      <c r="H133" s="18">
        <f>VLOOKUP(B133,'CPF Table'!$A$13:$E$23,4,TRUE)*CPF!F133</f>
        <v>0</v>
      </c>
      <c r="I133" s="18">
        <f>VLOOKUP(B133,'CPF Table'!$A$13:$E$23,5,TRUE)*CPF!F133</f>
        <v>0</v>
      </c>
      <c r="J133" s="103">
        <f t="shared" si="2"/>
        <v>0</v>
      </c>
    </row>
    <row r="134" spans="3:10">
      <c r="C134" s="126">
        <v>0</v>
      </c>
      <c r="D134" s="127">
        <v>0</v>
      </c>
      <c r="E134" s="82">
        <f t="shared" si="3"/>
        <v>0</v>
      </c>
      <c r="F134" s="18">
        <f>IF(VLOOKUP(B134,'CPF Table'!$A$4:$G$8,5,TRUE)*CPF!C134&gt;=VLOOKUP(B134,'CPF Table'!$A$4:$G$8,6,TRUE),VLOOKUP(B134,'CPF Table'!$A$4:$G$8,5,TRUE)*C134+VLOOKUP(B134,'CPF Table'!$A$4:$G$8,5,TRUE)*CPF!D134,VLOOKUP(B134,'CPF Table'!$A$4:$G$8,5,TRUE)*CPF!C134+VLOOKUP(B134,'CPF Table'!$A$4:$G$8,5,TRUE)*CPF!D134)</f>
        <v>0</v>
      </c>
      <c r="G134" s="18">
        <f>VLOOKUP(B134,'CPF Table'!$A$13:$E$23,3,TRUE)*F134</f>
        <v>0</v>
      </c>
      <c r="H134" s="18">
        <f>VLOOKUP(B134,'CPF Table'!$A$13:$E$23,4,TRUE)*CPF!F134</f>
        <v>0</v>
      </c>
      <c r="I134" s="18">
        <f>VLOOKUP(B134,'CPF Table'!$A$13:$E$23,5,TRUE)*CPF!F134</f>
        <v>0</v>
      </c>
      <c r="J134" s="103">
        <f t="shared" si="2"/>
        <v>0</v>
      </c>
    </row>
    <row r="135" spans="3:10">
      <c r="C135" s="126">
        <v>0</v>
      </c>
      <c r="D135" s="127">
        <v>0</v>
      </c>
      <c r="E135" s="82">
        <f t="shared" si="3"/>
        <v>0</v>
      </c>
      <c r="F135" s="18">
        <f>IF(VLOOKUP(B135,'CPF Table'!$A$4:$G$8,5,TRUE)*CPF!C135&gt;=VLOOKUP(B135,'CPF Table'!$A$4:$G$8,6,TRUE),VLOOKUP(B135,'CPF Table'!$A$4:$G$8,5,TRUE)*C135+VLOOKUP(B135,'CPF Table'!$A$4:$G$8,5,TRUE)*CPF!D135,VLOOKUP(B135,'CPF Table'!$A$4:$G$8,5,TRUE)*CPF!C135+VLOOKUP(B135,'CPF Table'!$A$4:$G$8,5,TRUE)*CPF!D135)</f>
        <v>0</v>
      </c>
      <c r="G135" s="18">
        <f>VLOOKUP(B135,'CPF Table'!$A$13:$E$23,3,TRUE)*F135</f>
        <v>0</v>
      </c>
      <c r="H135" s="18">
        <f>VLOOKUP(B135,'CPF Table'!$A$13:$E$23,4,TRUE)*CPF!F135</f>
        <v>0</v>
      </c>
      <c r="I135" s="18">
        <f>VLOOKUP(B135,'CPF Table'!$A$13:$E$23,5,TRUE)*CPF!F135</f>
        <v>0</v>
      </c>
      <c r="J135" s="103">
        <f t="shared" si="2"/>
        <v>0</v>
      </c>
    </row>
    <row r="136" spans="3:10">
      <c r="C136" s="126">
        <v>0</v>
      </c>
      <c r="D136" s="127">
        <v>0</v>
      </c>
      <c r="E136" s="82">
        <f t="shared" si="3"/>
        <v>0</v>
      </c>
      <c r="F136" s="18">
        <f>IF(VLOOKUP(B136,'CPF Table'!$A$4:$G$8,5,TRUE)*CPF!C136&gt;=VLOOKUP(B136,'CPF Table'!$A$4:$G$8,6,TRUE),VLOOKUP(B136,'CPF Table'!$A$4:$G$8,5,TRUE)*C136+VLOOKUP(B136,'CPF Table'!$A$4:$G$8,5,TRUE)*CPF!D136,VLOOKUP(B136,'CPF Table'!$A$4:$G$8,5,TRUE)*CPF!C136+VLOOKUP(B136,'CPF Table'!$A$4:$G$8,5,TRUE)*CPF!D136)</f>
        <v>0</v>
      </c>
      <c r="G136" s="18">
        <f>VLOOKUP(B136,'CPF Table'!$A$13:$E$23,3,TRUE)*F136</f>
        <v>0</v>
      </c>
      <c r="H136" s="18">
        <f>VLOOKUP(B136,'CPF Table'!$A$13:$E$23,4,TRUE)*CPF!F136</f>
        <v>0</v>
      </c>
      <c r="I136" s="18">
        <f>VLOOKUP(B136,'CPF Table'!$A$13:$E$23,5,TRUE)*CPF!F136</f>
        <v>0</v>
      </c>
      <c r="J136" s="103">
        <f t="shared" si="2"/>
        <v>0</v>
      </c>
    </row>
    <row r="137" spans="3:10">
      <c r="C137" s="126">
        <v>0</v>
      </c>
      <c r="D137" s="127">
        <v>0</v>
      </c>
      <c r="E137" s="82">
        <f t="shared" si="3"/>
        <v>0</v>
      </c>
      <c r="F137" s="18">
        <f>IF(VLOOKUP(B137,'CPF Table'!$A$4:$G$8,5,TRUE)*CPF!C137&gt;=VLOOKUP(B137,'CPF Table'!$A$4:$G$8,6,TRUE),VLOOKUP(B137,'CPF Table'!$A$4:$G$8,5,TRUE)*C137+VLOOKUP(B137,'CPF Table'!$A$4:$G$8,5,TRUE)*CPF!D137,VLOOKUP(B137,'CPF Table'!$A$4:$G$8,5,TRUE)*CPF!C137+VLOOKUP(B137,'CPF Table'!$A$4:$G$8,5,TRUE)*CPF!D137)</f>
        <v>0</v>
      </c>
      <c r="G137" s="18">
        <f>VLOOKUP(B137,'CPF Table'!$A$13:$E$23,3,TRUE)*F137</f>
        <v>0</v>
      </c>
      <c r="H137" s="18">
        <f>VLOOKUP(B137,'CPF Table'!$A$13:$E$23,4,TRUE)*CPF!F137</f>
        <v>0</v>
      </c>
      <c r="I137" s="18">
        <f>VLOOKUP(B137,'CPF Table'!$A$13:$E$23,5,TRUE)*CPF!F137</f>
        <v>0</v>
      </c>
      <c r="J137" s="103">
        <f t="shared" si="2"/>
        <v>0</v>
      </c>
    </row>
    <row r="138" spans="3:10">
      <c r="C138" s="126">
        <v>0</v>
      </c>
      <c r="D138" s="127">
        <v>0</v>
      </c>
      <c r="E138" s="82">
        <f t="shared" si="3"/>
        <v>0</v>
      </c>
      <c r="F138" s="18">
        <f>IF(VLOOKUP(B138,'CPF Table'!$A$4:$G$8,5,TRUE)*CPF!C138&gt;=VLOOKUP(B138,'CPF Table'!$A$4:$G$8,6,TRUE),VLOOKUP(B138,'CPF Table'!$A$4:$G$8,5,TRUE)*C138+VLOOKUP(B138,'CPF Table'!$A$4:$G$8,5,TRUE)*CPF!D138,VLOOKUP(B138,'CPF Table'!$A$4:$G$8,5,TRUE)*CPF!C138+VLOOKUP(B138,'CPF Table'!$A$4:$G$8,5,TRUE)*CPF!D138)</f>
        <v>0</v>
      </c>
      <c r="G138" s="18">
        <f>VLOOKUP(B138,'CPF Table'!$A$13:$E$23,3,TRUE)*F138</f>
        <v>0</v>
      </c>
      <c r="H138" s="18">
        <f>VLOOKUP(B138,'CPF Table'!$A$13:$E$23,4,TRUE)*CPF!F138</f>
        <v>0</v>
      </c>
      <c r="I138" s="18">
        <f>VLOOKUP(B138,'CPF Table'!$A$13:$E$23,5,TRUE)*CPF!F138</f>
        <v>0</v>
      </c>
      <c r="J138" s="103">
        <f t="shared" si="2"/>
        <v>0</v>
      </c>
    </row>
    <row r="139" spans="3:10">
      <c r="C139" s="126">
        <v>0</v>
      </c>
      <c r="D139" s="127">
        <v>0</v>
      </c>
      <c r="E139" s="82">
        <f t="shared" si="3"/>
        <v>0</v>
      </c>
      <c r="F139" s="18">
        <f>IF(VLOOKUP(B139,'CPF Table'!$A$4:$G$8,5,TRUE)*CPF!C139&gt;=VLOOKUP(B139,'CPF Table'!$A$4:$G$8,6,TRUE),VLOOKUP(B139,'CPF Table'!$A$4:$G$8,5,TRUE)*C139+VLOOKUP(B139,'CPF Table'!$A$4:$G$8,5,TRUE)*CPF!D139,VLOOKUP(B139,'CPF Table'!$A$4:$G$8,5,TRUE)*CPF!C139+VLOOKUP(B139,'CPF Table'!$A$4:$G$8,5,TRUE)*CPF!D139)</f>
        <v>0</v>
      </c>
      <c r="G139" s="18">
        <f>VLOOKUP(B139,'CPF Table'!$A$13:$E$23,3,TRUE)*F139</f>
        <v>0</v>
      </c>
      <c r="H139" s="18">
        <f>VLOOKUP(B139,'CPF Table'!$A$13:$E$23,4,TRUE)*CPF!F139</f>
        <v>0</v>
      </c>
      <c r="I139" s="18">
        <f>VLOOKUP(B139,'CPF Table'!$A$13:$E$23,5,TRUE)*CPF!F139</f>
        <v>0</v>
      </c>
      <c r="J139" s="103">
        <f t="shared" si="2"/>
        <v>0</v>
      </c>
    </row>
    <row r="140" spans="3:10">
      <c r="C140" s="126">
        <v>0</v>
      </c>
      <c r="D140" s="127">
        <v>0</v>
      </c>
      <c r="E140" s="82">
        <f t="shared" si="3"/>
        <v>0</v>
      </c>
      <c r="F140" s="18">
        <f>IF(VLOOKUP(B140,'CPF Table'!$A$4:$G$8,5,TRUE)*CPF!C140&gt;=VLOOKUP(B140,'CPF Table'!$A$4:$G$8,6,TRUE),VLOOKUP(B140,'CPF Table'!$A$4:$G$8,5,TRUE)*C140+VLOOKUP(B140,'CPF Table'!$A$4:$G$8,5,TRUE)*CPF!D140,VLOOKUP(B140,'CPF Table'!$A$4:$G$8,5,TRUE)*CPF!C140+VLOOKUP(B140,'CPF Table'!$A$4:$G$8,5,TRUE)*CPF!D140)</f>
        <v>0</v>
      </c>
      <c r="G140" s="18">
        <f>VLOOKUP(B140,'CPF Table'!$A$13:$E$23,3,TRUE)*F140</f>
        <v>0</v>
      </c>
      <c r="H140" s="18">
        <f>VLOOKUP(B140,'CPF Table'!$A$13:$E$23,4,TRUE)*CPF!F140</f>
        <v>0</v>
      </c>
      <c r="I140" s="18">
        <f>VLOOKUP(B140,'CPF Table'!$A$13:$E$23,5,TRUE)*CPF!F140</f>
        <v>0</v>
      </c>
      <c r="J140" s="103">
        <f t="shared" si="2"/>
        <v>0</v>
      </c>
    </row>
    <row r="141" spans="3:10">
      <c r="C141" s="126">
        <v>0</v>
      </c>
      <c r="D141" s="127">
        <v>0</v>
      </c>
      <c r="E141" s="82">
        <f t="shared" si="3"/>
        <v>0</v>
      </c>
      <c r="F141" s="18">
        <f>IF(VLOOKUP(B141,'CPF Table'!$A$4:$G$8,5,TRUE)*CPF!C141&gt;=VLOOKUP(B141,'CPF Table'!$A$4:$G$8,6,TRUE),VLOOKUP(B141,'CPF Table'!$A$4:$G$8,5,TRUE)*C141+VLOOKUP(B141,'CPF Table'!$A$4:$G$8,5,TRUE)*CPF!D141,VLOOKUP(B141,'CPF Table'!$A$4:$G$8,5,TRUE)*CPF!C141+VLOOKUP(B141,'CPF Table'!$A$4:$G$8,5,TRUE)*CPF!D141)</f>
        <v>0</v>
      </c>
      <c r="G141" s="18">
        <f>VLOOKUP(B141,'CPF Table'!$A$13:$E$23,3,TRUE)*F141</f>
        <v>0</v>
      </c>
      <c r="H141" s="18">
        <f>VLOOKUP(B141,'CPF Table'!$A$13:$E$23,4,TRUE)*CPF!F141</f>
        <v>0</v>
      </c>
      <c r="I141" s="18">
        <f>VLOOKUP(B141,'CPF Table'!$A$13:$E$23,5,TRUE)*CPF!F141</f>
        <v>0</v>
      </c>
      <c r="J141" s="103">
        <f t="shared" si="2"/>
        <v>0</v>
      </c>
    </row>
    <row r="142" spans="3:10">
      <c r="C142" s="126">
        <v>0</v>
      </c>
      <c r="D142" s="127">
        <v>0</v>
      </c>
      <c r="E142" s="82">
        <f t="shared" si="3"/>
        <v>0</v>
      </c>
      <c r="F142" s="18">
        <f>IF(VLOOKUP(B142,'CPF Table'!$A$4:$G$8,5,TRUE)*CPF!C142&gt;=VLOOKUP(B142,'CPF Table'!$A$4:$G$8,6,TRUE),VLOOKUP(B142,'CPF Table'!$A$4:$G$8,5,TRUE)*C142+VLOOKUP(B142,'CPF Table'!$A$4:$G$8,5,TRUE)*CPF!D142,VLOOKUP(B142,'CPF Table'!$A$4:$G$8,5,TRUE)*CPF!C142+VLOOKUP(B142,'CPF Table'!$A$4:$G$8,5,TRUE)*CPF!D142)</f>
        <v>0</v>
      </c>
      <c r="G142" s="18">
        <f>VLOOKUP(B142,'CPF Table'!$A$13:$E$23,3,TRUE)*F142</f>
        <v>0</v>
      </c>
      <c r="H142" s="18">
        <f>VLOOKUP(B142,'CPF Table'!$A$13:$E$23,4,TRUE)*CPF!F142</f>
        <v>0</v>
      </c>
      <c r="I142" s="18">
        <f>VLOOKUP(B142,'CPF Table'!$A$13:$E$23,5,TRUE)*CPF!F142</f>
        <v>0</v>
      </c>
      <c r="J142" s="103">
        <f t="shared" ref="J142:J205" si="4">E142-F142</f>
        <v>0</v>
      </c>
    </row>
    <row r="143" spans="3:10">
      <c r="C143" s="126">
        <v>0</v>
      </c>
      <c r="D143" s="127">
        <v>0</v>
      </c>
      <c r="E143" s="82">
        <f t="shared" ref="E143:E206" si="5">C143+D143</f>
        <v>0</v>
      </c>
      <c r="F143" s="18">
        <f>IF(VLOOKUP(B143,'CPF Table'!$A$4:$G$8,5,TRUE)*CPF!C143&gt;=VLOOKUP(B143,'CPF Table'!$A$4:$G$8,6,TRUE),VLOOKUP(B143,'CPF Table'!$A$4:$G$8,5,TRUE)*C143+VLOOKUP(B143,'CPF Table'!$A$4:$G$8,5,TRUE)*CPF!D143,VLOOKUP(B143,'CPF Table'!$A$4:$G$8,5,TRUE)*CPF!C143+VLOOKUP(B143,'CPF Table'!$A$4:$G$8,5,TRUE)*CPF!D143)</f>
        <v>0</v>
      </c>
      <c r="G143" s="18">
        <f>VLOOKUP(B143,'CPF Table'!$A$13:$E$23,3,TRUE)*F143</f>
        <v>0</v>
      </c>
      <c r="H143" s="18">
        <f>VLOOKUP(B143,'CPF Table'!$A$13:$E$23,4,TRUE)*CPF!F143</f>
        <v>0</v>
      </c>
      <c r="I143" s="18">
        <f>VLOOKUP(B143,'CPF Table'!$A$13:$E$23,5,TRUE)*CPF!F143</f>
        <v>0</v>
      </c>
      <c r="J143" s="103">
        <f t="shared" si="4"/>
        <v>0</v>
      </c>
    </row>
    <row r="144" spans="3:10">
      <c r="C144" s="126">
        <v>0</v>
      </c>
      <c r="D144" s="127">
        <v>0</v>
      </c>
      <c r="E144" s="82">
        <f t="shared" si="5"/>
        <v>0</v>
      </c>
      <c r="F144" s="18">
        <f>IF(VLOOKUP(B144,'CPF Table'!$A$4:$G$8,5,TRUE)*CPF!C144&gt;=VLOOKUP(B144,'CPF Table'!$A$4:$G$8,6,TRUE),VLOOKUP(B144,'CPF Table'!$A$4:$G$8,5,TRUE)*C144+VLOOKUP(B144,'CPF Table'!$A$4:$G$8,5,TRUE)*CPF!D144,VLOOKUP(B144,'CPF Table'!$A$4:$G$8,5,TRUE)*CPF!C144+VLOOKUP(B144,'CPF Table'!$A$4:$G$8,5,TRUE)*CPF!D144)</f>
        <v>0</v>
      </c>
      <c r="G144" s="18">
        <f>VLOOKUP(B144,'CPF Table'!$A$13:$E$23,3,TRUE)*F144</f>
        <v>0</v>
      </c>
      <c r="H144" s="18">
        <f>VLOOKUP(B144,'CPF Table'!$A$13:$E$23,4,TRUE)*CPF!F144</f>
        <v>0</v>
      </c>
      <c r="I144" s="18">
        <f>VLOOKUP(B144,'CPF Table'!$A$13:$E$23,5,TRUE)*CPF!F144</f>
        <v>0</v>
      </c>
      <c r="J144" s="103">
        <f t="shared" si="4"/>
        <v>0</v>
      </c>
    </row>
    <row r="145" spans="3:10">
      <c r="C145" s="126">
        <v>0</v>
      </c>
      <c r="D145" s="127">
        <v>0</v>
      </c>
      <c r="E145" s="82">
        <f t="shared" si="5"/>
        <v>0</v>
      </c>
      <c r="F145" s="18">
        <f>IF(VLOOKUP(B145,'CPF Table'!$A$4:$G$8,5,TRUE)*CPF!C145&gt;=VLOOKUP(B145,'CPF Table'!$A$4:$G$8,6,TRUE),VLOOKUP(B145,'CPF Table'!$A$4:$G$8,5,TRUE)*C145+VLOOKUP(B145,'CPF Table'!$A$4:$G$8,5,TRUE)*CPF!D145,VLOOKUP(B145,'CPF Table'!$A$4:$G$8,5,TRUE)*CPF!C145+VLOOKUP(B145,'CPF Table'!$A$4:$G$8,5,TRUE)*CPF!D145)</f>
        <v>0</v>
      </c>
      <c r="G145" s="18">
        <f>VLOOKUP(B145,'CPF Table'!$A$13:$E$23,3,TRUE)*F145</f>
        <v>0</v>
      </c>
      <c r="H145" s="18">
        <f>VLOOKUP(B145,'CPF Table'!$A$13:$E$23,4,TRUE)*CPF!F145</f>
        <v>0</v>
      </c>
      <c r="I145" s="18">
        <f>VLOOKUP(B145,'CPF Table'!$A$13:$E$23,5,TRUE)*CPF!F145</f>
        <v>0</v>
      </c>
      <c r="J145" s="103">
        <f t="shared" si="4"/>
        <v>0</v>
      </c>
    </row>
    <row r="146" spans="3:10">
      <c r="C146" s="126">
        <v>0</v>
      </c>
      <c r="D146" s="127">
        <v>0</v>
      </c>
      <c r="E146" s="82">
        <f t="shared" si="5"/>
        <v>0</v>
      </c>
      <c r="F146" s="18">
        <f>IF(VLOOKUP(B146,'CPF Table'!$A$4:$G$8,5,TRUE)*CPF!C146&gt;=VLOOKUP(B146,'CPF Table'!$A$4:$G$8,6,TRUE),VLOOKUP(B146,'CPF Table'!$A$4:$G$8,5,TRUE)*C146+VLOOKUP(B146,'CPF Table'!$A$4:$G$8,5,TRUE)*CPF!D146,VLOOKUP(B146,'CPF Table'!$A$4:$G$8,5,TRUE)*CPF!C146+VLOOKUP(B146,'CPF Table'!$A$4:$G$8,5,TRUE)*CPF!D146)</f>
        <v>0</v>
      </c>
      <c r="G146" s="18">
        <f>VLOOKUP(B146,'CPF Table'!$A$13:$E$23,3,TRUE)*F146</f>
        <v>0</v>
      </c>
      <c r="H146" s="18">
        <f>VLOOKUP(B146,'CPF Table'!$A$13:$E$23,4,TRUE)*CPF!F146</f>
        <v>0</v>
      </c>
      <c r="I146" s="18">
        <f>VLOOKUP(B146,'CPF Table'!$A$13:$E$23,5,TRUE)*CPF!F146</f>
        <v>0</v>
      </c>
      <c r="J146" s="103">
        <f t="shared" si="4"/>
        <v>0</v>
      </c>
    </row>
    <row r="147" spans="3:10">
      <c r="C147" s="126">
        <v>0</v>
      </c>
      <c r="D147" s="127">
        <v>0</v>
      </c>
      <c r="E147" s="82">
        <f t="shared" si="5"/>
        <v>0</v>
      </c>
      <c r="F147" s="18">
        <f>IF(VLOOKUP(B147,'CPF Table'!$A$4:$G$8,5,TRUE)*CPF!C147&gt;=VLOOKUP(B147,'CPF Table'!$A$4:$G$8,6,TRUE),VLOOKUP(B147,'CPF Table'!$A$4:$G$8,5,TRUE)*C147+VLOOKUP(B147,'CPF Table'!$A$4:$G$8,5,TRUE)*CPF!D147,VLOOKUP(B147,'CPF Table'!$A$4:$G$8,5,TRUE)*CPF!C147+VLOOKUP(B147,'CPF Table'!$A$4:$G$8,5,TRUE)*CPF!D147)</f>
        <v>0</v>
      </c>
      <c r="G147" s="18">
        <f>VLOOKUP(B147,'CPF Table'!$A$13:$E$23,3,TRUE)*F147</f>
        <v>0</v>
      </c>
      <c r="H147" s="18">
        <f>VLOOKUP(B147,'CPF Table'!$A$13:$E$23,4,TRUE)*CPF!F147</f>
        <v>0</v>
      </c>
      <c r="I147" s="18">
        <f>VLOOKUP(B147,'CPF Table'!$A$13:$E$23,5,TRUE)*CPF!F147</f>
        <v>0</v>
      </c>
      <c r="J147" s="103">
        <f t="shared" si="4"/>
        <v>0</v>
      </c>
    </row>
    <row r="148" spans="3:10">
      <c r="C148" s="126">
        <v>0</v>
      </c>
      <c r="D148" s="127">
        <v>0</v>
      </c>
      <c r="E148" s="82">
        <f t="shared" si="5"/>
        <v>0</v>
      </c>
      <c r="F148" s="18">
        <f>IF(VLOOKUP(B148,'CPF Table'!$A$4:$G$8,5,TRUE)*CPF!C148&gt;=VLOOKUP(B148,'CPF Table'!$A$4:$G$8,6,TRUE),VLOOKUP(B148,'CPF Table'!$A$4:$G$8,5,TRUE)*C148+VLOOKUP(B148,'CPF Table'!$A$4:$G$8,5,TRUE)*CPF!D148,VLOOKUP(B148,'CPF Table'!$A$4:$G$8,5,TRUE)*CPF!C148+VLOOKUP(B148,'CPF Table'!$A$4:$G$8,5,TRUE)*CPF!D148)</f>
        <v>0</v>
      </c>
      <c r="G148" s="18">
        <f>VLOOKUP(B148,'CPF Table'!$A$13:$E$23,3,TRUE)*F148</f>
        <v>0</v>
      </c>
      <c r="H148" s="18">
        <f>VLOOKUP(B148,'CPF Table'!$A$13:$E$23,4,TRUE)*CPF!F148</f>
        <v>0</v>
      </c>
      <c r="I148" s="18">
        <f>VLOOKUP(B148,'CPF Table'!$A$13:$E$23,5,TRUE)*CPF!F148</f>
        <v>0</v>
      </c>
      <c r="J148" s="103">
        <f t="shared" si="4"/>
        <v>0</v>
      </c>
    </row>
    <row r="149" spans="3:10">
      <c r="C149" s="126">
        <v>0</v>
      </c>
      <c r="D149" s="127">
        <v>0</v>
      </c>
      <c r="E149" s="82">
        <f t="shared" si="5"/>
        <v>0</v>
      </c>
      <c r="F149" s="18">
        <f>IF(VLOOKUP(B149,'CPF Table'!$A$4:$G$8,5,TRUE)*CPF!C149&gt;=VLOOKUP(B149,'CPF Table'!$A$4:$G$8,6,TRUE),VLOOKUP(B149,'CPF Table'!$A$4:$G$8,5,TRUE)*C149+VLOOKUP(B149,'CPF Table'!$A$4:$G$8,5,TRUE)*CPF!D149,VLOOKUP(B149,'CPF Table'!$A$4:$G$8,5,TRUE)*CPF!C149+VLOOKUP(B149,'CPF Table'!$A$4:$G$8,5,TRUE)*CPF!D149)</f>
        <v>0</v>
      </c>
      <c r="G149" s="18">
        <f>VLOOKUP(B149,'CPF Table'!$A$13:$E$23,3,TRUE)*F149</f>
        <v>0</v>
      </c>
      <c r="H149" s="18">
        <f>VLOOKUP(B149,'CPF Table'!$A$13:$E$23,4,TRUE)*CPF!F149</f>
        <v>0</v>
      </c>
      <c r="I149" s="18">
        <f>VLOOKUP(B149,'CPF Table'!$A$13:$E$23,5,TRUE)*CPF!F149</f>
        <v>0</v>
      </c>
      <c r="J149" s="103">
        <f t="shared" si="4"/>
        <v>0</v>
      </c>
    </row>
    <row r="150" spans="3:10">
      <c r="C150" s="126">
        <v>0</v>
      </c>
      <c r="D150" s="127">
        <v>0</v>
      </c>
      <c r="E150" s="82">
        <f t="shared" si="5"/>
        <v>0</v>
      </c>
      <c r="F150" s="18">
        <f>IF(VLOOKUP(B150,'CPF Table'!$A$4:$G$8,5,TRUE)*CPF!C150&gt;=VLOOKUP(B150,'CPF Table'!$A$4:$G$8,6,TRUE),VLOOKUP(B150,'CPF Table'!$A$4:$G$8,5,TRUE)*C150+VLOOKUP(B150,'CPF Table'!$A$4:$G$8,5,TRUE)*CPF!D150,VLOOKUP(B150,'CPF Table'!$A$4:$G$8,5,TRUE)*CPF!C150+VLOOKUP(B150,'CPF Table'!$A$4:$G$8,5,TRUE)*CPF!D150)</f>
        <v>0</v>
      </c>
      <c r="G150" s="18">
        <f>VLOOKUP(B150,'CPF Table'!$A$13:$E$23,3,TRUE)*F150</f>
        <v>0</v>
      </c>
      <c r="H150" s="18">
        <f>VLOOKUP(B150,'CPF Table'!$A$13:$E$23,4,TRUE)*CPF!F150</f>
        <v>0</v>
      </c>
      <c r="I150" s="18">
        <f>VLOOKUP(B150,'CPF Table'!$A$13:$E$23,5,TRUE)*CPF!F150</f>
        <v>0</v>
      </c>
      <c r="J150" s="103">
        <f t="shared" si="4"/>
        <v>0</v>
      </c>
    </row>
    <row r="151" spans="3:10">
      <c r="C151" s="126">
        <v>0</v>
      </c>
      <c r="D151" s="127">
        <v>0</v>
      </c>
      <c r="E151" s="82">
        <f t="shared" si="5"/>
        <v>0</v>
      </c>
      <c r="F151" s="18">
        <f>IF(VLOOKUP(B151,'CPF Table'!$A$4:$G$8,5,TRUE)*CPF!C151&gt;=VLOOKUP(B151,'CPF Table'!$A$4:$G$8,6,TRUE),VLOOKUP(B151,'CPF Table'!$A$4:$G$8,5,TRUE)*C151+VLOOKUP(B151,'CPF Table'!$A$4:$G$8,5,TRUE)*CPF!D151,VLOOKUP(B151,'CPF Table'!$A$4:$G$8,5,TRUE)*CPF!C151+VLOOKUP(B151,'CPF Table'!$A$4:$G$8,5,TRUE)*CPF!D151)</f>
        <v>0</v>
      </c>
      <c r="G151" s="18">
        <f>VLOOKUP(B151,'CPF Table'!$A$13:$E$23,3,TRUE)*F151</f>
        <v>0</v>
      </c>
      <c r="H151" s="18">
        <f>VLOOKUP(B151,'CPF Table'!$A$13:$E$23,4,TRUE)*CPF!F151</f>
        <v>0</v>
      </c>
      <c r="I151" s="18">
        <f>VLOOKUP(B151,'CPF Table'!$A$13:$E$23,5,TRUE)*CPF!F151</f>
        <v>0</v>
      </c>
      <c r="J151" s="103">
        <f t="shared" si="4"/>
        <v>0</v>
      </c>
    </row>
    <row r="152" spans="3:10">
      <c r="C152" s="126">
        <v>0</v>
      </c>
      <c r="D152" s="127">
        <v>0</v>
      </c>
      <c r="E152" s="82">
        <f t="shared" si="5"/>
        <v>0</v>
      </c>
      <c r="F152" s="18">
        <f>IF(VLOOKUP(B152,'CPF Table'!$A$4:$G$8,5,TRUE)*CPF!C152&gt;=VLOOKUP(B152,'CPF Table'!$A$4:$G$8,6,TRUE),VLOOKUP(B152,'CPF Table'!$A$4:$G$8,5,TRUE)*C152+VLOOKUP(B152,'CPF Table'!$A$4:$G$8,5,TRUE)*CPF!D152,VLOOKUP(B152,'CPF Table'!$A$4:$G$8,5,TRUE)*CPF!C152+VLOOKUP(B152,'CPF Table'!$A$4:$G$8,5,TRUE)*CPF!D152)</f>
        <v>0</v>
      </c>
      <c r="G152" s="18">
        <f>VLOOKUP(B152,'CPF Table'!$A$13:$E$23,3,TRUE)*F152</f>
        <v>0</v>
      </c>
      <c r="H152" s="18">
        <f>VLOOKUP(B152,'CPF Table'!$A$13:$E$23,4,TRUE)*CPF!F152</f>
        <v>0</v>
      </c>
      <c r="I152" s="18">
        <f>VLOOKUP(B152,'CPF Table'!$A$13:$E$23,5,TRUE)*CPF!F152</f>
        <v>0</v>
      </c>
      <c r="J152" s="103">
        <f t="shared" si="4"/>
        <v>0</v>
      </c>
    </row>
    <row r="153" spans="3:10">
      <c r="C153" s="126">
        <v>0</v>
      </c>
      <c r="D153" s="127">
        <v>0</v>
      </c>
      <c r="E153" s="82">
        <f t="shared" si="5"/>
        <v>0</v>
      </c>
      <c r="F153" s="18">
        <f>IF(VLOOKUP(B153,'CPF Table'!$A$4:$G$8,5,TRUE)*CPF!C153&gt;=VLOOKUP(B153,'CPF Table'!$A$4:$G$8,6,TRUE),VLOOKUP(B153,'CPF Table'!$A$4:$G$8,5,TRUE)*C153+VLOOKUP(B153,'CPF Table'!$A$4:$G$8,5,TRUE)*CPF!D153,VLOOKUP(B153,'CPF Table'!$A$4:$G$8,5,TRUE)*CPF!C153+VLOOKUP(B153,'CPF Table'!$A$4:$G$8,5,TRUE)*CPF!D153)</f>
        <v>0</v>
      </c>
      <c r="G153" s="18">
        <f>VLOOKUP(B153,'CPF Table'!$A$13:$E$23,3,TRUE)*F153</f>
        <v>0</v>
      </c>
      <c r="H153" s="18">
        <f>VLOOKUP(B153,'CPF Table'!$A$13:$E$23,4,TRUE)*CPF!F153</f>
        <v>0</v>
      </c>
      <c r="I153" s="18">
        <f>VLOOKUP(B153,'CPF Table'!$A$13:$E$23,5,TRUE)*CPF!F153</f>
        <v>0</v>
      </c>
      <c r="J153" s="103">
        <f t="shared" si="4"/>
        <v>0</v>
      </c>
    </row>
    <row r="154" spans="3:10">
      <c r="C154" s="126">
        <v>0</v>
      </c>
      <c r="D154" s="127">
        <v>0</v>
      </c>
      <c r="E154" s="82">
        <f t="shared" si="5"/>
        <v>0</v>
      </c>
      <c r="F154" s="18">
        <f>IF(VLOOKUP(B154,'CPF Table'!$A$4:$G$8,5,TRUE)*CPF!C154&gt;=VLOOKUP(B154,'CPF Table'!$A$4:$G$8,6,TRUE),VLOOKUP(B154,'CPF Table'!$A$4:$G$8,5,TRUE)*C154+VLOOKUP(B154,'CPF Table'!$A$4:$G$8,5,TRUE)*CPF!D154,VLOOKUP(B154,'CPF Table'!$A$4:$G$8,5,TRUE)*CPF!C154+VLOOKUP(B154,'CPF Table'!$A$4:$G$8,5,TRUE)*CPF!D154)</f>
        <v>0</v>
      </c>
      <c r="G154" s="18">
        <f>VLOOKUP(B154,'CPF Table'!$A$13:$E$23,3,TRUE)*F154</f>
        <v>0</v>
      </c>
      <c r="H154" s="18">
        <f>VLOOKUP(B154,'CPF Table'!$A$13:$E$23,4,TRUE)*CPF!F154</f>
        <v>0</v>
      </c>
      <c r="I154" s="18">
        <f>VLOOKUP(B154,'CPF Table'!$A$13:$E$23,5,TRUE)*CPF!F154</f>
        <v>0</v>
      </c>
      <c r="J154" s="103">
        <f t="shared" si="4"/>
        <v>0</v>
      </c>
    </row>
    <row r="155" spans="3:10">
      <c r="C155" s="126">
        <v>0</v>
      </c>
      <c r="D155" s="127">
        <v>0</v>
      </c>
      <c r="E155" s="82">
        <f t="shared" si="5"/>
        <v>0</v>
      </c>
      <c r="F155" s="18">
        <f>IF(VLOOKUP(B155,'CPF Table'!$A$4:$G$8,5,TRUE)*CPF!C155&gt;=VLOOKUP(B155,'CPF Table'!$A$4:$G$8,6,TRUE),VLOOKUP(B155,'CPF Table'!$A$4:$G$8,5,TRUE)*C155+VLOOKUP(B155,'CPF Table'!$A$4:$G$8,5,TRUE)*CPF!D155,VLOOKUP(B155,'CPF Table'!$A$4:$G$8,5,TRUE)*CPF!C155+VLOOKUP(B155,'CPF Table'!$A$4:$G$8,5,TRUE)*CPF!D155)</f>
        <v>0</v>
      </c>
      <c r="G155" s="18">
        <f>VLOOKUP(B155,'CPF Table'!$A$13:$E$23,3,TRUE)*F155</f>
        <v>0</v>
      </c>
      <c r="H155" s="18">
        <f>VLOOKUP(B155,'CPF Table'!$A$13:$E$23,4,TRUE)*CPF!F155</f>
        <v>0</v>
      </c>
      <c r="I155" s="18">
        <f>VLOOKUP(B155,'CPF Table'!$A$13:$E$23,5,TRUE)*CPF!F155</f>
        <v>0</v>
      </c>
      <c r="J155" s="103">
        <f t="shared" si="4"/>
        <v>0</v>
      </c>
    </row>
    <row r="156" spans="3:10">
      <c r="C156" s="126">
        <v>0</v>
      </c>
      <c r="D156" s="127">
        <v>0</v>
      </c>
      <c r="E156" s="82">
        <f t="shared" si="5"/>
        <v>0</v>
      </c>
      <c r="F156" s="18">
        <f>IF(VLOOKUP(B156,'CPF Table'!$A$4:$G$8,5,TRUE)*CPF!C156&gt;=VLOOKUP(B156,'CPF Table'!$A$4:$G$8,6,TRUE),VLOOKUP(B156,'CPF Table'!$A$4:$G$8,5,TRUE)*C156+VLOOKUP(B156,'CPF Table'!$A$4:$G$8,5,TRUE)*CPF!D156,VLOOKUP(B156,'CPF Table'!$A$4:$G$8,5,TRUE)*CPF!C156+VLOOKUP(B156,'CPF Table'!$A$4:$G$8,5,TRUE)*CPF!D156)</f>
        <v>0</v>
      </c>
      <c r="G156" s="18">
        <f>VLOOKUP(B156,'CPF Table'!$A$13:$E$23,3,TRUE)*F156</f>
        <v>0</v>
      </c>
      <c r="H156" s="18">
        <f>VLOOKUP(B156,'CPF Table'!$A$13:$E$23,4,TRUE)*CPF!F156</f>
        <v>0</v>
      </c>
      <c r="I156" s="18">
        <f>VLOOKUP(B156,'CPF Table'!$A$13:$E$23,5,TRUE)*CPF!F156</f>
        <v>0</v>
      </c>
      <c r="J156" s="103">
        <f t="shared" si="4"/>
        <v>0</v>
      </c>
    </row>
    <row r="157" spans="3:10">
      <c r="C157" s="126">
        <v>0</v>
      </c>
      <c r="D157" s="127">
        <v>0</v>
      </c>
      <c r="E157" s="82">
        <f t="shared" si="5"/>
        <v>0</v>
      </c>
      <c r="F157" s="18">
        <f>IF(VLOOKUP(B157,'CPF Table'!$A$4:$G$8,5,TRUE)*CPF!C157&gt;=VLOOKUP(B157,'CPF Table'!$A$4:$G$8,6,TRUE),VLOOKUP(B157,'CPF Table'!$A$4:$G$8,5,TRUE)*C157+VLOOKUP(B157,'CPF Table'!$A$4:$G$8,5,TRUE)*CPF!D157,VLOOKUP(B157,'CPF Table'!$A$4:$G$8,5,TRUE)*CPF!C157+VLOOKUP(B157,'CPF Table'!$A$4:$G$8,5,TRUE)*CPF!D157)</f>
        <v>0</v>
      </c>
      <c r="G157" s="18">
        <f>VLOOKUP(B157,'CPF Table'!$A$13:$E$23,3,TRUE)*F157</f>
        <v>0</v>
      </c>
      <c r="H157" s="18">
        <f>VLOOKUP(B157,'CPF Table'!$A$13:$E$23,4,TRUE)*CPF!F157</f>
        <v>0</v>
      </c>
      <c r="I157" s="18">
        <f>VLOOKUP(B157,'CPF Table'!$A$13:$E$23,5,TRUE)*CPF!F157</f>
        <v>0</v>
      </c>
      <c r="J157" s="103">
        <f t="shared" si="4"/>
        <v>0</v>
      </c>
    </row>
    <row r="158" spans="3:10">
      <c r="C158" s="126">
        <v>0</v>
      </c>
      <c r="D158" s="127">
        <v>0</v>
      </c>
      <c r="E158" s="82">
        <f t="shared" si="5"/>
        <v>0</v>
      </c>
      <c r="F158" s="18">
        <f>IF(VLOOKUP(B158,'CPF Table'!$A$4:$G$8,5,TRUE)*CPF!C158&gt;=VLOOKUP(B158,'CPF Table'!$A$4:$G$8,6,TRUE),VLOOKUP(B158,'CPF Table'!$A$4:$G$8,5,TRUE)*C158+VLOOKUP(B158,'CPF Table'!$A$4:$G$8,5,TRUE)*CPF!D158,VLOOKUP(B158,'CPF Table'!$A$4:$G$8,5,TRUE)*CPF!C158+VLOOKUP(B158,'CPF Table'!$A$4:$G$8,5,TRUE)*CPF!D158)</f>
        <v>0</v>
      </c>
      <c r="G158" s="18">
        <f>VLOOKUP(B158,'CPF Table'!$A$13:$E$23,3,TRUE)*F158</f>
        <v>0</v>
      </c>
      <c r="H158" s="18">
        <f>VLOOKUP(B158,'CPF Table'!$A$13:$E$23,4,TRUE)*CPF!F158</f>
        <v>0</v>
      </c>
      <c r="I158" s="18">
        <f>VLOOKUP(B158,'CPF Table'!$A$13:$E$23,5,TRUE)*CPF!F158</f>
        <v>0</v>
      </c>
      <c r="J158" s="103">
        <f t="shared" si="4"/>
        <v>0</v>
      </c>
    </row>
    <row r="159" spans="3:10">
      <c r="C159" s="126">
        <v>0</v>
      </c>
      <c r="D159" s="127">
        <v>0</v>
      </c>
      <c r="E159" s="82">
        <f t="shared" si="5"/>
        <v>0</v>
      </c>
      <c r="F159" s="18">
        <f>IF(VLOOKUP(B159,'CPF Table'!$A$4:$G$8,5,TRUE)*CPF!C159&gt;=VLOOKUP(B159,'CPF Table'!$A$4:$G$8,6,TRUE),VLOOKUP(B159,'CPF Table'!$A$4:$G$8,5,TRUE)*C159+VLOOKUP(B159,'CPF Table'!$A$4:$G$8,5,TRUE)*CPF!D159,VLOOKUP(B159,'CPF Table'!$A$4:$G$8,5,TRUE)*CPF!C159+VLOOKUP(B159,'CPF Table'!$A$4:$G$8,5,TRUE)*CPF!D159)</f>
        <v>0</v>
      </c>
      <c r="G159" s="18">
        <f>VLOOKUP(B159,'CPF Table'!$A$13:$E$23,3,TRUE)*F159</f>
        <v>0</v>
      </c>
      <c r="H159" s="18">
        <f>VLOOKUP(B159,'CPF Table'!$A$13:$E$23,4,TRUE)*CPF!F159</f>
        <v>0</v>
      </c>
      <c r="I159" s="18">
        <f>VLOOKUP(B159,'CPF Table'!$A$13:$E$23,5,TRUE)*CPF!F159</f>
        <v>0</v>
      </c>
      <c r="J159" s="103">
        <f t="shared" si="4"/>
        <v>0</v>
      </c>
    </row>
    <row r="160" spans="3:10">
      <c r="C160" s="126">
        <v>0</v>
      </c>
      <c r="D160" s="127">
        <v>0</v>
      </c>
      <c r="E160" s="82">
        <f t="shared" si="5"/>
        <v>0</v>
      </c>
      <c r="F160" s="18">
        <f>IF(VLOOKUP(B160,'CPF Table'!$A$4:$G$8,5,TRUE)*CPF!C160&gt;=VLOOKUP(B160,'CPF Table'!$A$4:$G$8,6,TRUE),VLOOKUP(B160,'CPF Table'!$A$4:$G$8,5,TRUE)*C160+VLOOKUP(B160,'CPF Table'!$A$4:$G$8,5,TRUE)*CPF!D160,VLOOKUP(B160,'CPF Table'!$A$4:$G$8,5,TRUE)*CPF!C160+VLOOKUP(B160,'CPF Table'!$A$4:$G$8,5,TRUE)*CPF!D160)</f>
        <v>0</v>
      </c>
      <c r="G160" s="18">
        <f>VLOOKUP(B160,'CPF Table'!$A$13:$E$23,3,TRUE)*F160</f>
        <v>0</v>
      </c>
      <c r="H160" s="18">
        <f>VLOOKUP(B160,'CPF Table'!$A$13:$E$23,4,TRUE)*CPF!F160</f>
        <v>0</v>
      </c>
      <c r="I160" s="18">
        <f>VLOOKUP(B160,'CPF Table'!$A$13:$E$23,5,TRUE)*CPF!F160</f>
        <v>0</v>
      </c>
      <c r="J160" s="103">
        <f t="shared" si="4"/>
        <v>0</v>
      </c>
    </row>
    <row r="161" spans="3:10">
      <c r="C161" s="126">
        <v>0</v>
      </c>
      <c r="D161" s="127">
        <v>0</v>
      </c>
      <c r="E161" s="82">
        <f t="shared" si="5"/>
        <v>0</v>
      </c>
      <c r="F161" s="18">
        <f>IF(VLOOKUP(B161,'CPF Table'!$A$4:$G$8,5,TRUE)*CPF!C161&gt;=VLOOKUP(B161,'CPF Table'!$A$4:$G$8,6,TRUE),VLOOKUP(B161,'CPF Table'!$A$4:$G$8,5,TRUE)*C161+VLOOKUP(B161,'CPF Table'!$A$4:$G$8,5,TRUE)*CPF!D161,VLOOKUP(B161,'CPF Table'!$A$4:$G$8,5,TRUE)*CPF!C161+VLOOKUP(B161,'CPF Table'!$A$4:$G$8,5,TRUE)*CPF!D161)</f>
        <v>0</v>
      </c>
      <c r="G161" s="18">
        <f>VLOOKUP(B161,'CPF Table'!$A$13:$E$23,3,TRUE)*F161</f>
        <v>0</v>
      </c>
      <c r="H161" s="18">
        <f>VLOOKUP(B161,'CPF Table'!$A$13:$E$23,4,TRUE)*CPF!F161</f>
        <v>0</v>
      </c>
      <c r="I161" s="18">
        <f>VLOOKUP(B161,'CPF Table'!$A$13:$E$23,5,TRUE)*CPF!F161</f>
        <v>0</v>
      </c>
      <c r="J161" s="103">
        <f t="shared" si="4"/>
        <v>0</v>
      </c>
    </row>
    <row r="162" spans="3:10">
      <c r="C162" s="126">
        <v>0</v>
      </c>
      <c r="D162" s="127">
        <v>0</v>
      </c>
      <c r="E162" s="82">
        <f t="shared" si="5"/>
        <v>0</v>
      </c>
      <c r="F162" s="18">
        <f>IF(VLOOKUP(B162,'CPF Table'!$A$4:$G$8,5,TRUE)*CPF!C162&gt;=VLOOKUP(B162,'CPF Table'!$A$4:$G$8,6,TRUE),VLOOKUP(B162,'CPF Table'!$A$4:$G$8,5,TRUE)*C162+VLOOKUP(B162,'CPF Table'!$A$4:$G$8,5,TRUE)*CPF!D162,VLOOKUP(B162,'CPF Table'!$A$4:$G$8,5,TRUE)*CPF!C162+VLOOKUP(B162,'CPF Table'!$A$4:$G$8,5,TRUE)*CPF!D162)</f>
        <v>0</v>
      </c>
      <c r="G162" s="18">
        <f>VLOOKUP(B162,'CPF Table'!$A$13:$E$23,3,TRUE)*F162</f>
        <v>0</v>
      </c>
      <c r="H162" s="18">
        <f>VLOOKUP(B162,'CPF Table'!$A$13:$E$23,4,TRUE)*CPF!F162</f>
        <v>0</v>
      </c>
      <c r="I162" s="18">
        <f>VLOOKUP(B162,'CPF Table'!$A$13:$E$23,5,TRUE)*CPF!F162</f>
        <v>0</v>
      </c>
      <c r="J162" s="103">
        <f t="shared" si="4"/>
        <v>0</v>
      </c>
    </row>
    <row r="163" spans="3:10">
      <c r="C163" s="126">
        <v>0</v>
      </c>
      <c r="D163" s="127">
        <v>0</v>
      </c>
      <c r="E163" s="82">
        <f t="shared" si="5"/>
        <v>0</v>
      </c>
      <c r="F163" s="18">
        <f>IF(VLOOKUP(B163,'CPF Table'!$A$4:$G$8,5,TRUE)*CPF!C163&gt;=VLOOKUP(B163,'CPF Table'!$A$4:$G$8,6,TRUE),VLOOKUP(B163,'CPF Table'!$A$4:$G$8,5,TRUE)*C163+VLOOKUP(B163,'CPF Table'!$A$4:$G$8,5,TRUE)*CPF!D163,VLOOKUP(B163,'CPF Table'!$A$4:$G$8,5,TRUE)*CPF!C163+VLOOKUP(B163,'CPF Table'!$A$4:$G$8,5,TRUE)*CPF!D163)</f>
        <v>0</v>
      </c>
      <c r="G163" s="18">
        <f>VLOOKUP(B163,'CPF Table'!$A$13:$E$23,3,TRUE)*F163</f>
        <v>0</v>
      </c>
      <c r="H163" s="18">
        <f>VLOOKUP(B163,'CPF Table'!$A$13:$E$23,4,TRUE)*CPF!F163</f>
        <v>0</v>
      </c>
      <c r="I163" s="18">
        <f>VLOOKUP(B163,'CPF Table'!$A$13:$E$23,5,TRUE)*CPF!F163</f>
        <v>0</v>
      </c>
      <c r="J163" s="103">
        <f t="shared" si="4"/>
        <v>0</v>
      </c>
    </row>
    <row r="164" spans="3:10">
      <c r="C164" s="126">
        <v>0</v>
      </c>
      <c r="D164" s="127">
        <v>0</v>
      </c>
      <c r="E164" s="82">
        <f t="shared" si="5"/>
        <v>0</v>
      </c>
      <c r="F164" s="18">
        <f>IF(VLOOKUP(B164,'CPF Table'!$A$4:$G$8,5,TRUE)*CPF!C164&gt;=VLOOKUP(B164,'CPF Table'!$A$4:$G$8,6,TRUE),VLOOKUP(B164,'CPF Table'!$A$4:$G$8,5,TRUE)*C164+VLOOKUP(B164,'CPF Table'!$A$4:$G$8,5,TRUE)*CPF!D164,VLOOKUP(B164,'CPF Table'!$A$4:$G$8,5,TRUE)*CPF!C164+VLOOKUP(B164,'CPF Table'!$A$4:$G$8,5,TRUE)*CPF!D164)</f>
        <v>0</v>
      </c>
      <c r="G164" s="18">
        <f>VLOOKUP(B164,'CPF Table'!$A$13:$E$23,3,TRUE)*F164</f>
        <v>0</v>
      </c>
      <c r="H164" s="18">
        <f>VLOOKUP(B164,'CPF Table'!$A$13:$E$23,4,TRUE)*CPF!F164</f>
        <v>0</v>
      </c>
      <c r="I164" s="18">
        <f>VLOOKUP(B164,'CPF Table'!$A$13:$E$23,5,TRUE)*CPF!F164</f>
        <v>0</v>
      </c>
      <c r="J164" s="103">
        <f t="shared" si="4"/>
        <v>0</v>
      </c>
    </row>
    <row r="165" spans="3:10">
      <c r="C165" s="126">
        <v>0</v>
      </c>
      <c r="D165" s="127">
        <v>0</v>
      </c>
      <c r="E165" s="82">
        <f t="shared" si="5"/>
        <v>0</v>
      </c>
      <c r="F165" s="18">
        <f>IF(VLOOKUP(B165,'CPF Table'!$A$4:$G$8,5,TRUE)*CPF!C165&gt;=VLOOKUP(B165,'CPF Table'!$A$4:$G$8,6,TRUE),VLOOKUP(B165,'CPF Table'!$A$4:$G$8,5,TRUE)*C165+VLOOKUP(B165,'CPF Table'!$A$4:$G$8,5,TRUE)*CPF!D165,VLOOKUP(B165,'CPF Table'!$A$4:$G$8,5,TRUE)*CPF!C165+VLOOKUP(B165,'CPF Table'!$A$4:$G$8,5,TRUE)*CPF!D165)</f>
        <v>0</v>
      </c>
      <c r="G165" s="18">
        <f>VLOOKUP(B165,'CPF Table'!$A$13:$E$23,3,TRUE)*F165</f>
        <v>0</v>
      </c>
      <c r="H165" s="18">
        <f>VLOOKUP(B165,'CPF Table'!$A$13:$E$23,4,TRUE)*CPF!F165</f>
        <v>0</v>
      </c>
      <c r="I165" s="18">
        <f>VLOOKUP(B165,'CPF Table'!$A$13:$E$23,5,TRUE)*CPF!F165</f>
        <v>0</v>
      </c>
      <c r="J165" s="103">
        <f t="shared" si="4"/>
        <v>0</v>
      </c>
    </row>
    <row r="166" spans="3:10">
      <c r="C166" s="126">
        <v>0</v>
      </c>
      <c r="D166" s="127">
        <v>0</v>
      </c>
      <c r="E166" s="82">
        <f t="shared" si="5"/>
        <v>0</v>
      </c>
      <c r="F166" s="18">
        <f>IF(VLOOKUP(B166,'CPF Table'!$A$4:$G$8,5,TRUE)*CPF!C166&gt;=VLOOKUP(B166,'CPF Table'!$A$4:$G$8,6,TRUE),VLOOKUP(B166,'CPF Table'!$A$4:$G$8,5,TRUE)*C166+VLOOKUP(B166,'CPF Table'!$A$4:$G$8,5,TRUE)*CPF!D166,VLOOKUP(B166,'CPF Table'!$A$4:$G$8,5,TRUE)*CPF!C166+VLOOKUP(B166,'CPF Table'!$A$4:$G$8,5,TRUE)*CPF!D166)</f>
        <v>0</v>
      </c>
      <c r="G166" s="18">
        <f>VLOOKUP(B166,'CPF Table'!$A$13:$E$23,3,TRUE)*F166</f>
        <v>0</v>
      </c>
      <c r="H166" s="18">
        <f>VLOOKUP(B166,'CPF Table'!$A$13:$E$23,4,TRUE)*CPF!F166</f>
        <v>0</v>
      </c>
      <c r="I166" s="18">
        <f>VLOOKUP(B166,'CPF Table'!$A$13:$E$23,5,TRUE)*CPF!F166</f>
        <v>0</v>
      </c>
      <c r="J166" s="103">
        <f t="shared" si="4"/>
        <v>0</v>
      </c>
    </row>
    <row r="167" spans="3:10">
      <c r="C167" s="126">
        <v>0</v>
      </c>
      <c r="D167" s="127">
        <v>0</v>
      </c>
      <c r="E167" s="82">
        <f t="shared" si="5"/>
        <v>0</v>
      </c>
      <c r="F167" s="18">
        <f>IF(VLOOKUP(B167,'CPF Table'!$A$4:$G$8,5,TRUE)*CPF!C167&gt;=VLOOKUP(B167,'CPF Table'!$A$4:$G$8,6,TRUE),VLOOKUP(B167,'CPF Table'!$A$4:$G$8,5,TRUE)*C167+VLOOKUP(B167,'CPF Table'!$A$4:$G$8,5,TRUE)*CPF!D167,VLOOKUP(B167,'CPF Table'!$A$4:$G$8,5,TRUE)*CPF!C167+VLOOKUP(B167,'CPF Table'!$A$4:$G$8,5,TRUE)*CPF!D167)</f>
        <v>0</v>
      </c>
      <c r="G167" s="18">
        <f>VLOOKUP(B167,'CPF Table'!$A$13:$E$23,3,TRUE)*F167</f>
        <v>0</v>
      </c>
      <c r="H167" s="18">
        <f>VLOOKUP(B167,'CPF Table'!$A$13:$E$23,4,TRUE)*CPF!F167</f>
        <v>0</v>
      </c>
      <c r="I167" s="18">
        <f>VLOOKUP(B167,'CPF Table'!$A$13:$E$23,5,TRUE)*CPF!F167</f>
        <v>0</v>
      </c>
      <c r="J167" s="103">
        <f t="shared" si="4"/>
        <v>0</v>
      </c>
    </row>
    <row r="168" spans="3:10">
      <c r="C168" s="126">
        <v>0</v>
      </c>
      <c r="D168" s="127">
        <v>0</v>
      </c>
      <c r="E168" s="82">
        <f t="shared" si="5"/>
        <v>0</v>
      </c>
      <c r="F168" s="18">
        <f>IF(VLOOKUP(B168,'CPF Table'!$A$4:$G$8,5,TRUE)*CPF!C168&gt;=VLOOKUP(B168,'CPF Table'!$A$4:$G$8,6,TRUE),VLOOKUP(B168,'CPF Table'!$A$4:$G$8,5,TRUE)*C168+VLOOKUP(B168,'CPF Table'!$A$4:$G$8,5,TRUE)*CPF!D168,VLOOKUP(B168,'CPF Table'!$A$4:$G$8,5,TRUE)*CPF!C168+VLOOKUP(B168,'CPF Table'!$A$4:$G$8,5,TRUE)*CPF!D168)</f>
        <v>0</v>
      </c>
      <c r="G168" s="18">
        <f>VLOOKUP(B168,'CPF Table'!$A$13:$E$23,3,TRUE)*F168</f>
        <v>0</v>
      </c>
      <c r="H168" s="18">
        <f>VLOOKUP(B168,'CPF Table'!$A$13:$E$23,4,TRUE)*CPF!F168</f>
        <v>0</v>
      </c>
      <c r="I168" s="18">
        <f>VLOOKUP(B168,'CPF Table'!$A$13:$E$23,5,TRUE)*CPF!F168</f>
        <v>0</v>
      </c>
      <c r="J168" s="103">
        <f t="shared" si="4"/>
        <v>0</v>
      </c>
    </row>
    <row r="169" spans="3:10">
      <c r="C169" s="126">
        <v>0</v>
      </c>
      <c r="D169" s="127">
        <v>0</v>
      </c>
      <c r="E169" s="82">
        <f t="shared" si="5"/>
        <v>0</v>
      </c>
      <c r="F169" s="18">
        <f>IF(VLOOKUP(B169,'CPF Table'!$A$4:$G$8,5,TRUE)*CPF!C169&gt;=VLOOKUP(B169,'CPF Table'!$A$4:$G$8,6,TRUE),VLOOKUP(B169,'CPF Table'!$A$4:$G$8,5,TRUE)*C169+VLOOKUP(B169,'CPF Table'!$A$4:$G$8,5,TRUE)*CPF!D169,VLOOKUP(B169,'CPF Table'!$A$4:$G$8,5,TRUE)*CPF!C169+VLOOKUP(B169,'CPF Table'!$A$4:$G$8,5,TRUE)*CPF!D169)</f>
        <v>0</v>
      </c>
      <c r="G169" s="18">
        <f>VLOOKUP(B169,'CPF Table'!$A$13:$E$23,3,TRUE)*F169</f>
        <v>0</v>
      </c>
      <c r="H169" s="18">
        <f>VLOOKUP(B169,'CPF Table'!$A$13:$E$23,4,TRUE)*CPF!F169</f>
        <v>0</v>
      </c>
      <c r="I169" s="18">
        <f>VLOOKUP(B169,'CPF Table'!$A$13:$E$23,5,TRUE)*CPF!F169</f>
        <v>0</v>
      </c>
      <c r="J169" s="103">
        <f t="shared" si="4"/>
        <v>0</v>
      </c>
    </row>
    <row r="170" spans="3:10">
      <c r="C170" s="126">
        <v>0</v>
      </c>
      <c r="D170" s="127">
        <v>0</v>
      </c>
      <c r="E170" s="82">
        <f t="shared" si="5"/>
        <v>0</v>
      </c>
      <c r="F170" s="18">
        <f>IF(VLOOKUP(B170,'CPF Table'!$A$4:$G$8,5,TRUE)*CPF!C170&gt;=VLOOKUP(B170,'CPF Table'!$A$4:$G$8,6,TRUE),VLOOKUP(B170,'CPF Table'!$A$4:$G$8,5,TRUE)*C170+VLOOKUP(B170,'CPF Table'!$A$4:$G$8,5,TRUE)*CPF!D170,VLOOKUP(B170,'CPF Table'!$A$4:$G$8,5,TRUE)*CPF!C170+VLOOKUP(B170,'CPF Table'!$A$4:$G$8,5,TRUE)*CPF!D170)</f>
        <v>0</v>
      </c>
      <c r="G170" s="18">
        <f>VLOOKUP(B170,'CPF Table'!$A$13:$E$23,3,TRUE)*F170</f>
        <v>0</v>
      </c>
      <c r="H170" s="18">
        <f>VLOOKUP(B170,'CPF Table'!$A$13:$E$23,4,TRUE)*CPF!F170</f>
        <v>0</v>
      </c>
      <c r="I170" s="18">
        <f>VLOOKUP(B170,'CPF Table'!$A$13:$E$23,5,TRUE)*CPF!F170</f>
        <v>0</v>
      </c>
      <c r="J170" s="103">
        <f t="shared" si="4"/>
        <v>0</v>
      </c>
    </row>
    <row r="171" spans="3:10">
      <c r="C171" s="126">
        <v>0</v>
      </c>
      <c r="D171" s="127">
        <v>0</v>
      </c>
      <c r="E171" s="82">
        <f t="shared" si="5"/>
        <v>0</v>
      </c>
      <c r="F171" s="18">
        <f>IF(VLOOKUP(B171,'CPF Table'!$A$4:$G$8,5,TRUE)*CPF!C171&gt;=VLOOKUP(B171,'CPF Table'!$A$4:$G$8,6,TRUE),VLOOKUP(B171,'CPF Table'!$A$4:$G$8,5,TRUE)*C171+VLOOKUP(B171,'CPF Table'!$A$4:$G$8,5,TRUE)*CPF!D171,VLOOKUP(B171,'CPF Table'!$A$4:$G$8,5,TRUE)*CPF!C171+VLOOKUP(B171,'CPF Table'!$A$4:$G$8,5,TRUE)*CPF!D171)</f>
        <v>0</v>
      </c>
      <c r="G171" s="18">
        <f>VLOOKUP(B171,'CPF Table'!$A$13:$E$23,3,TRUE)*F171</f>
        <v>0</v>
      </c>
      <c r="H171" s="18">
        <f>VLOOKUP(B171,'CPF Table'!$A$13:$E$23,4,TRUE)*CPF!F171</f>
        <v>0</v>
      </c>
      <c r="I171" s="18">
        <f>VLOOKUP(B171,'CPF Table'!$A$13:$E$23,5,TRUE)*CPF!F171</f>
        <v>0</v>
      </c>
      <c r="J171" s="103">
        <f t="shared" si="4"/>
        <v>0</v>
      </c>
    </row>
    <row r="172" spans="3:10">
      <c r="C172" s="126">
        <v>0</v>
      </c>
      <c r="D172" s="127">
        <v>0</v>
      </c>
      <c r="E172" s="82">
        <f t="shared" si="5"/>
        <v>0</v>
      </c>
      <c r="F172" s="18">
        <f>IF(VLOOKUP(B172,'CPF Table'!$A$4:$G$8,5,TRUE)*CPF!C172&gt;=VLOOKUP(B172,'CPF Table'!$A$4:$G$8,6,TRUE),VLOOKUP(B172,'CPF Table'!$A$4:$G$8,5,TRUE)*C172+VLOOKUP(B172,'CPF Table'!$A$4:$G$8,5,TRUE)*CPF!D172,VLOOKUP(B172,'CPF Table'!$A$4:$G$8,5,TRUE)*CPF!C172+VLOOKUP(B172,'CPF Table'!$A$4:$G$8,5,TRUE)*CPF!D172)</f>
        <v>0</v>
      </c>
      <c r="G172" s="18">
        <f>VLOOKUP(B172,'CPF Table'!$A$13:$E$23,3,TRUE)*F172</f>
        <v>0</v>
      </c>
      <c r="H172" s="18">
        <f>VLOOKUP(B172,'CPF Table'!$A$13:$E$23,4,TRUE)*CPF!F172</f>
        <v>0</v>
      </c>
      <c r="I172" s="18">
        <f>VLOOKUP(B172,'CPF Table'!$A$13:$E$23,5,TRUE)*CPF!F172</f>
        <v>0</v>
      </c>
      <c r="J172" s="103">
        <f t="shared" si="4"/>
        <v>0</v>
      </c>
    </row>
    <row r="173" spans="3:10">
      <c r="C173" s="126">
        <v>0</v>
      </c>
      <c r="D173" s="127">
        <v>0</v>
      </c>
      <c r="E173" s="82">
        <f t="shared" si="5"/>
        <v>0</v>
      </c>
      <c r="F173" s="18">
        <f>IF(VLOOKUP(B173,'CPF Table'!$A$4:$G$8,5,TRUE)*CPF!C173&gt;=VLOOKUP(B173,'CPF Table'!$A$4:$G$8,6,TRUE),VLOOKUP(B173,'CPF Table'!$A$4:$G$8,5,TRUE)*C173+VLOOKUP(B173,'CPF Table'!$A$4:$G$8,5,TRUE)*CPF!D173,VLOOKUP(B173,'CPF Table'!$A$4:$G$8,5,TRUE)*CPF!C173+VLOOKUP(B173,'CPF Table'!$A$4:$G$8,5,TRUE)*CPF!D173)</f>
        <v>0</v>
      </c>
      <c r="G173" s="18">
        <f>VLOOKUP(B173,'CPF Table'!$A$13:$E$23,3,TRUE)*F173</f>
        <v>0</v>
      </c>
      <c r="H173" s="18">
        <f>VLOOKUP(B173,'CPF Table'!$A$13:$E$23,4,TRUE)*CPF!F173</f>
        <v>0</v>
      </c>
      <c r="I173" s="18">
        <f>VLOOKUP(B173,'CPF Table'!$A$13:$E$23,5,TRUE)*CPF!F173</f>
        <v>0</v>
      </c>
      <c r="J173" s="103">
        <f t="shared" si="4"/>
        <v>0</v>
      </c>
    </row>
    <row r="174" spans="3:10">
      <c r="C174" s="126">
        <v>0</v>
      </c>
      <c r="D174" s="127">
        <v>0</v>
      </c>
      <c r="E174" s="82">
        <f t="shared" si="5"/>
        <v>0</v>
      </c>
      <c r="F174" s="18">
        <f>IF(VLOOKUP(B174,'CPF Table'!$A$4:$G$8,5,TRUE)*CPF!C174&gt;=VLOOKUP(B174,'CPF Table'!$A$4:$G$8,6,TRUE),VLOOKUP(B174,'CPF Table'!$A$4:$G$8,5,TRUE)*C174+VLOOKUP(B174,'CPF Table'!$A$4:$G$8,5,TRUE)*CPF!D174,VLOOKUP(B174,'CPF Table'!$A$4:$G$8,5,TRUE)*CPF!C174+VLOOKUP(B174,'CPF Table'!$A$4:$G$8,5,TRUE)*CPF!D174)</f>
        <v>0</v>
      </c>
      <c r="G174" s="18">
        <f>VLOOKUP(B174,'CPF Table'!$A$13:$E$23,3,TRUE)*F174</f>
        <v>0</v>
      </c>
      <c r="H174" s="18">
        <f>VLOOKUP(B174,'CPF Table'!$A$13:$E$23,4,TRUE)*CPF!F174</f>
        <v>0</v>
      </c>
      <c r="I174" s="18">
        <f>VLOOKUP(B174,'CPF Table'!$A$13:$E$23,5,TRUE)*CPF!F174</f>
        <v>0</v>
      </c>
      <c r="J174" s="103">
        <f t="shared" si="4"/>
        <v>0</v>
      </c>
    </row>
    <row r="175" spans="3:10">
      <c r="C175" s="126">
        <v>0</v>
      </c>
      <c r="D175" s="127">
        <v>0</v>
      </c>
      <c r="E175" s="82">
        <f t="shared" si="5"/>
        <v>0</v>
      </c>
      <c r="F175" s="18">
        <f>IF(VLOOKUP(B175,'CPF Table'!$A$4:$G$8,5,TRUE)*CPF!C175&gt;=VLOOKUP(B175,'CPF Table'!$A$4:$G$8,6,TRUE),VLOOKUP(B175,'CPF Table'!$A$4:$G$8,5,TRUE)*C175+VLOOKUP(B175,'CPF Table'!$A$4:$G$8,5,TRUE)*CPF!D175,VLOOKUP(B175,'CPF Table'!$A$4:$G$8,5,TRUE)*CPF!C175+VLOOKUP(B175,'CPF Table'!$A$4:$G$8,5,TRUE)*CPF!D175)</f>
        <v>0</v>
      </c>
      <c r="G175" s="18">
        <f>VLOOKUP(B175,'CPF Table'!$A$13:$E$23,3,TRUE)*F175</f>
        <v>0</v>
      </c>
      <c r="H175" s="18">
        <f>VLOOKUP(B175,'CPF Table'!$A$13:$E$23,4,TRUE)*CPF!F175</f>
        <v>0</v>
      </c>
      <c r="I175" s="18">
        <f>VLOOKUP(B175,'CPF Table'!$A$13:$E$23,5,TRUE)*CPF!F175</f>
        <v>0</v>
      </c>
      <c r="J175" s="103">
        <f t="shared" si="4"/>
        <v>0</v>
      </c>
    </row>
    <row r="176" spans="3:10">
      <c r="C176" s="126">
        <v>0</v>
      </c>
      <c r="D176" s="127">
        <v>0</v>
      </c>
      <c r="E176" s="82">
        <f t="shared" si="5"/>
        <v>0</v>
      </c>
      <c r="F176" s="18">
        <f>IF(VLOOKUP(B176,'CPF Table'!$A$4:$G$8,5,TRUE)*CPF!C176&gt;=VLOOKUP(B176,'CPF Table'!$A$4:$G$8,6,TRUE),VLOOKUP(B176,'CPF Table'!$A$4:$G$8,5,TRUE)*C176+VLOOKUP(B176,'CPF Table'!$A$4:$G$8,5,TRUE)*CPF!D176,VLOOKUP(B176,'CPF Table'!$A$4:$G$8,5,TRUE)*CPF!C176+VLOOKUP(B176,'CPF Table'!$A$4:$G$8,5,TRUE)*CPF!D176)</f>
        <v>0</v>
      </c>
      <c r="G176" s="18">
        <f>VLOOKUP(B176,'CPF Table'!$A$13:$E$23,3,TRUE)*F176</f>
        <v>0</v>
      </c>
      <c r="H176" s="18">
        <f>VLOOKUP(B176,'CPF Table'!$A$13:$E$23,4,TRUE)*CPF!F176</f>
        <v>0</v>
      </c>
      <c r="I176" s="18">
        <f>VLOOKUP(B176,'CPF Table'!$A$13:$E$23,5,TRUE)*CPF!F176</f>
        <v>0</v>
      </c>
      <c r="J176" s="103">
        <f t="shared" si="4"/>
        <v>0</v>
      </c>
    </row>
    <row r="177" spans="3:10">
      <c r="C177" s="126">
        <v>0</v>
      </c>
      <c r="D177" s="127">
        <v>0</v>
      </c>
      <c r="E177" s="82">
        <f t="shared" si="5"/>
        <v>0</v>
      </c>
      <c r="F177" s="18">
        <f>IF(VLOOKUP(B177,'CPF Table'!$A$4:$G$8,5,TRUE)*CPF!C177&gt;=VLOOKUP(B177,'CPF Table'!$A$4:$G$8,6,TRUE),VLOOKUP(B177,'CPF Table'!$A$4:$G$8,5,TRUE)*C177+VLOOKUP(B177,'CPF Table'!$A$4:$G$8,5,TRUE)*CPF!D177,VLOOKUP(B177,'CPF Table'!$A$4:$G$8,5,TRUE)*CPF!C177+VLOOKUP(B177,'CPF Table'!$A$4:$G$8,5,TRUE)*CPF!D177)</f>
        <v>0</v>
      </c>
      <c r="G177" s="18">
        <f>VLOOKUP(B177,'CPF Table'!$A$13:$E$23,3,TRUE)*F177</f>
        <v>0</v>
      </c>
      <c r="H177" s="18">
        <f>VLOOKUP(B177,'CPF Table'!$A$13:$E$23,4,TRUE)*CPF!F177</f>
        <v>0</v>
      </c>
      <c r="I177" s="18">
        <f>VLOOKUP(B177,'CPF Table'!$A$13:$E$23,5,TRUE)*CPF!F177</f>
        <v>0</v>
      </c>
      <c r="J177" s="103">
        <f t="shared" si="4"/>
        <v>0</v>
      </c>
    </row>
    <row r="178" spans="3:10">
      <c r="C178" s="126">
        <v>0</v>
      </c>
      <c r="D178" s="127">
        <v>0</v>
      </c>
      <c r="E178" s="82">
        <f t="shared" si="5"/>
        <v>0</v>
      </c>
      <c r="F178" s="18">
        <f>IF(VLOOKUP(B178,'CPF Table'!$A$4:$G$8,5,TRUE)*CPF!C178&gt;=VLOOKUP(B178,'CPF Table'!$A$4:$G$8,6,TRUE),VLOOKUP(B178,'CPF Table'!$A$4:$G$8,5,TRUE)*C178+VLOOKUP(B178,'CPF Table'!$A$4:$G$8,5,TRUE)*CPF!D178,VLOOKUP(B178,'CPF Table'!$A$4:$G$8,5,TRUE)*CPF!C178+VLOOKUP(B178,'CPF Table'!$A$4:$G$8,5,TRUE)*CPF!D178)</f>
        <v>0</v>
      </c>
      <c r="G178" s="18">
        <f>VLOOKUP(B178,'CPF Table'!$A$13:$E$23,3,TRUE)*F178</f>
        <v>0</v>
      </c>
      <c r="H178" s="18">
        <f>VLOOKUP(B178,'CPF Table'!$A$13:$E$23,4,TRUE)*CPF!F178</f>
        <v>0</v>
      </c>
      <c r="I178" s="18">
        <f>VLOOKUP(B178,'CPF Table'!$A$13:$E$23,5,TRUE)*CPF!F178</f>
        <v>0</v>
      </c>
      <c r="J178" s="103">
        <f t="shared" si="4"/>
        <v>0</v>
      </c>
    </row>
    <row r="179" spans="3:10">
      <c r="C179" s="126">
        <v>0</v>
      </c>
      <c r="D179" s="127">
        <v>0</v>
      </c>
      <c r="E179" s="82">
        <f t="shared" si="5"/>
        <v>0</v>
      </c>
      <c r="F179" s="18">
        <f>IF(VLOOKUP(B179,'CPF Table'!$A$4:$G$8,5,TRUE)*CPF!C179&gt;=VLOOKUP(B179,'CPF Table'!$A$4:$G$8,6,TRUE),VLOOKUP(B179,'CPF Table'!$A$4:$G$8,5,TRUE)*C179+VLOOKUP(B179,'CPF Table'!$A$4:$G$8,5,TRUE)*CPF!D179,VLOOKUP(B179,'CPF Table'!$A$4:$G$8,5,TRUE)*CPF!C179+VLOOKUP(B179,'CPF Table'!$A$4:$G$8,5,TRUE)*CPF!D179)</f>
        <v>0</v>
      </c>
      <c r="G179" s="18">
        <f>VLOOKUP(B179,'CPF Table'!$A$13:$E$23,3,TRUE)*F179</f>
        <v>0</v>
      </c>
      <c r="H179" s="18">
        <f>VLOOKUP(B179,'CPF Table'!$A$13:$E$23,4,TRUE)*CPF!F179</f>
        <v>0</v>
      </c>
      <c r="I179" s="18">
        <f>VLOOKUP(B179,'CPF Table'!$A$13:$E$23,5,TRUE)*CPF!F179</f>
        <v>0</v>
      </c>
      <c r="J179" s="103">
        <f t="shared" si="4"/>
        <v>0</v>
      </c>
    </row>
    <row r="180" spans="3:10">
      <c r="C180" s="126">
        <v>0</v>
      </c>
      <c r="D180" s="127">
        <v>0</v>
      </c>
      <c r="E180" s="82">
        <f t="shared" si="5"/>
        <v>0</v>
      </c>
      <c r="F180" s="18">
        <f>IF(VLOOKUP(B180,'CPF Table'!$A$4:$G$8,5,TRUE)*CPF!C180&gt;=VLOOKUP(B180,'CPF Table'!$A$4:$G$8,6,TRUE),VLOOKUP(B180,'CPF Table'!$A$4:$G$8,5,TRUE)*C180+VLOOKUP(B180,'CPF Table'!$A$4:$G$8,5,TRUE)*CPF!D180,VLOOKUP(B180,'CPF Table'!$A$4:$G$8,5,TRUE)*CPF!C180+VLOOKUP(B180,'CPF Table'!$A$4:$G$8,5,TRUE)*CPF!D180)</f>
        <v>0</v>
      </c>
      <c r="G180" s="18">
        <f>VLOOKUP(B180,'CPF Table'!$A$13:$E$23,3,TRUE)*F180</f>
        <v>0</v>
      </c>
      <c r="H180" s="18">
        <f>VLOOKUP(B180,'CPF Table'!$A$13:$E$23,4,TRUE)*CPF!F180</f>
        <v>0</v>
      </c>
      <c r="I180" s="18">
        <f>VLOOKUP(B180,'CPF Table'!$A$13:$E$23,5,TRUE)*CPF!F180</f>
        <v>0</v>
      </c>
      <c r="J180" s="103">
        <f t="shared" si="4"/>
        <v>0</v>
      </c>
    </row>
    <row r="181" spans="3:10">
      <c r="C181" s="126">
        <v>0</v>
      </c>
      <c r="D181" s="127">
        <v>0</v>
      </c>
      <c r="E181" s="82">
        <f t="shared" si="5"/>
        <v>0</v>
      </c>
      <c r="F181" s="18">
        <f>IF(VLOOKUP(B181,'CPF Table'!$A$4:$G$8,5,TRUE)*CPF!C181&gt;=VLOOKUP(B181,'CPF Table'!$A$4:$G$8,6,TRUE),VLOOKUP(B181,'CPF Table'!$A$4:$G$8,5,TRUE)*C181+VLOOKUP(B181,'CPF Table'!$A$4:$G$8,5,TRUE)*CPF!D181,VLOOKUP(B181,'CPF Table'!$A$4:$G$8,5,TRUE)*CPF!C181+VLOOKUP(B181,'CPF Table'!$A$4:$G$8,5,TRUE)*CPF!D181)</f>
        <v>0</v>
      </c>
      <c r="G181" s="18">
        <f>VLOOKUP(B181,'CPF Table'!$A$13:$E$23,3,TRUE)*F181</f>
        <v>0</v>
      </c>
      <c r="H181" s="18">
        <f>VLOOKUP(B181,'CPF Table'!$A$13:$E$23,4,TRUE)*CPF!F181</f>
        <v>0</v>
      </c>
      <c r="I181" s="18">
        <f>VLOOKUP(B181,'CPF Table'!$A$13:$E$23,5,TRUE)*CPF!F181</f>
        <v>0</v>
      </c>
      <c r="J181" s="103">
        <f t="shared" si="4"/>
        <v>0</v>
      </c>
    </row>
    <row r="182" spans="3:10">
      <c r="C182" s="126">
        <v>0</v>
      </c>
      <c r="D182" s="127">
        <v>0</v>
      </c>
      <c r="E182" s="82">
        <f t="shared" si="5"/>
        <v>0</v>
      </c>
      <c r="F182" s="18">
        <f>IF(VLOOKUP(B182,'CPF Table'!$A$4:$G$8,5,TRUE)*CPF!C182&gt;=VLOOKUP(B182,'CPF Table'!$A$4:$G$8,6,TRUE),VLOOKUP(B182,'CPF Table'!$A$4:$G$8,5,TRUE)*C182+VLOOKUP(B182,'CPF Table'!$A$4:$G$8,5,TRUE)*CPF!D182,VLOOKUP(B182,'CPF Table'!$A$4:$G$8,5,TRUE)*CPF!C182+VLOOKUP(B182,'CPF Table'!$A$4:$G$8,5,TRUE)*CPF!D182)</f>
        <v>0</v>
      </c>
      <c r="G182" s="18">
        <f>VLOOKUP(B182,'CPF Table'!$A$13:$E$23,3,TRUE)*F182</f>
        <v>0</v>
      </c>
      <c r="H182" s="18">
        <f>VLOOKUP(B182,'CPF Table'!$A$13:$E$23,4,TRUE)*CPF!F182</f>
        <v>0</v>
      </c>
      <c r="I182" s="18">
        <f>VLOOKUP(B182,'CPF Table'!$A$13:$E$23,5,TRUE)*CPF!F182</f>
        <v>0</v>
      </c>
      <c r="J182" s="103">
        <f t="shared" si="4"/>
        <v>0</v>
      </c>
    </row>
    <row r="183" spans="3:10">
      <c r="C183" s="126">
        <v>0</v>
      </c>
      <c r="D183" s="127">
        <v>0</v>
      </c>
      <c r="E183" s="82">
        <f t="shared" si="5"/>
        <v>0</v>
      </c>
      <c r="F183" s="18">
        <f>IF(VLOOKUP(B183,'CPF Table'!$A$4:$G$8,5,TRUE)*CPF!C183&gt;=VLOOKUP(B183,'CPF Table'!$A$4:$G$8,6,TRUE),VLOOKUP(B183,'CPF Table'!$A$4:$G$8,5,TRUE)*C183+VLOOKUP(B183,'CPF Table'!$A$4:$G$8,5,TRUE)*CPF!D183,VLOOKUP(B183,'CPF Table'!$A$4:$G$8,5,TRUE)*CPF!C183+VLOOKUP(B183,'CPF Table'!$A$4:$G$8,5,TRUE)*CPF!D183)</f>
        <v>0</v>
      </c>
      <c r="G183" s="18">
        <f>VLOOKUP(B183,'CPF Table'!$A$13:$E$23,3,TRUE)*F183</f>
        <v>0</v>
      </c>
      <c r="H183" s="18">
        <f>VLOOKUP(B183,'CPF Table'!$A$13:$E$23,4,TRUE)*CPF!F183</f>
        <v>0</v>
      </c>
      <c r="I183" s="18">
        <f>VLOOKUP(B183,'CPF Table'!$A$13:$E$23,5,TRUE)*CPF!F183</f>
        <v>0</v>
      </c>
      <c r="J183" s="103">
        <f t="shared" si="4"/>
        <v>0</v>
      </c>
    </row>
    <row r="184" spans="3:10">
      <c r="C184" s="126">
        <v>0</v>
      </c>
      <c r="D184" s="127">
        <v>0</v>
      </c>
      <c r="E184" s="82">
        <f t="shared" si="5"/>
        <v>0</v>
      </c>
      <c r="F184" s="18">
        <f>IF(VLOOKUP(B184,'CPF Table'!$A$4:$G$8,5,TRUE)*CPF!C184&gt;=VLOOKUP(B184,'CPF Table'!$A$4:$G$8,6,TRUE),VLOOKUP(B184,'CPF Table'!$A$4:$G$8,5,TRUE)*C184+VLOOKUP(B184,'CPF Table'!$A$4:$G$8,5,TRUE)*CPF!D184,VLOOKUP(B184,'CPF Table'!$A$4:$G$8,5,TRUE)*CPF!C184+VLOOKUP(B184,'CPF Table'!$A$4:$G$8,5,TRUE)*CPF!D184)</f>
        <v>0</v>
      </c>
      <c r="G184" s="18">
        <f>VLOOKUP(B184,'CPF Table'!$A$13:$E$23,3,TRUE)*F184</f>
        <v>0</v>
      </c>
      <c r="H184" s="18">
        <f>VLOOKUP(B184,'CPF Table'!$A$13:$E$23,4,TRUE)*CPF!F184</f>
        <v>0</v>
      </c>
      <c r="I184" s="18">
        <f>VLOOKUP(B184,'CPF Table'!$A$13:$E$23,5,TRUE)*CPF!F184</f>
        <v>0</v>
      </c>
      <c r="J184" s="103">
        <f t="shared" si="4"/>
        <v>0</v>
      </c>
    </row>
    <row r="185" spans="3:10">
      <c r="C185" s="126">
        <v>0</v>
      </c>
      <c r="D185" s="127">
        <v>0</v>
      </c>
      <c r="E185" s="82">
        <f t="shared" si="5"/>
        <v>0</v>
      </c>
      <c r="F185" s="18">
        <f>IF(VLOOKUP(B185,'CPF Table'!$A$4:$G$8,5,TRUE)*CPF!C185&gt;=VLOOKUP(B185,'CPF Table'!$A$4:$G$8,6,TRUE),VLOOKUP(B185,'CPF Table'!$A$4:$G$8,5,TRUE)*C185+VLOOKUP(B185,'CPF Table'!$A$4:$G$8,5,TRUE)*CPF!D185,VLOOKUP(B185,'CPF Table'!$A$4:$G$8,5,TRUE)*CPF!C185+VLOOKUP(B185,'CPF Table'!$A$4:$G$8,5,TRUE)*CPF!D185)</f>
        <v>0</v>
      </c>
      <c r="G185" s="18">
        <f>VLOOKUP(B185,'CPF Table'!$A$13:$E$23,3,TRUE)*F185</f>
        <v>0</v>
      </c>
      <c r="H185" s="18">
        <f>VLOOKUP(B185,'CPF Table'!$A$13:$E$23,4,TRUE)*CPF!F185</f>
        <v>0</v>
      </c>
      <c r="I185" s="18">
        <f>VLOOKUP(B185,'CPF Table'!$A$13:$E$23,5,TRUE)*CPF!F185</f>
        <v>0</v>
      </c>
      <c r="J185" s="103">
        <f t="shared" si="4"/>
        <v>0</v>
      </c>
    </row>
    <row r="186" spans="3:10">
      <c r="C186" s="126">
        <v>0</v>
      </c>
      <c r="D186" s="127">
        <v>0</v>
      </c>
      <c r="E186" s="82">
        <f t="shared" si="5"/>
        <v>0</v>
      </c>
      <c r="F186" s="18">
        <f>IF(VLOOKUP(B186,'CPF Table'!$A$4:$G$8,5,TRUE)*CPF!C186&gt;=VLOOKUP(B186,'CPF Table'!$A$4:$G$8,6,TRUE),VLOOKUP(B186,'CPF Table'!$A$4:$G$8,5,TRUE)*C186+VLOOKUP(B186,'CPF Table'!$A$4:$G$8,5,TRUE)*CPF!D186,VLOOKUP(B186,'CPF Table'!$A$4:$G$8,5,TRUE)*CPF!C186+VLOOKUP(B186,'CPF Table'!$A$4:$G$8,5,TRUE)*CPF!D186)</f>
        <v>0</v>
      </c>
      <c r="G186" s="18">
        <f>VLOOKUP(B186,'CPF Table'!$A$13:$E$23,3,TRUE)*F186</f>
        <v>0</v>
      </c>
      <c r="H186" s="18">
        <f>VLOOKUP(B186,'CPF Table'!$A$13:$E$23,4,TRUE)*CPF!F186</f>
        <v>0</v>
      </c>
      <c r="I186" s="18">
        <f>VLOOKUP(B186,'CPF Table'!$A$13:$E$23,5,TRUE)*CPF!F186</f>
        <v>0</v>
      </c>
      <c r="J186" s="103">
        <f t="shared" si="4"/>
        <v>0</v>
      </c>
    </row>
    <row r="187" spans="3:10">
      <c r="C187" s="126">
        <v>0</v>
      </c>
      <c r="D187" s="127">
        <v>0</v>
      </c>
      <c r="E187" s="82">
        <f t="shared" si="5"/>
        <v>0</v>
      </c>
      <c r="F187" s="18">
        <f>IF(VLOOKUP(B187,'CPF Table'!$A$4:$G$8,5,TRUE)*CPF!C187&gt;=VLOOKUP(B187,'CPF Table'!$A$4:$G$8,6,TRUE),VLOOKUP(B187,'CPF Table'!$A$4:$G$8,5,TRUE)*C187+VLOOKUP(B187,'CPF Table'!$A$4:$G$8,5,TRUE)*CPF!D187,VLOOKUP(B187,'CPF Table'!$A$4:$G$8,5,TRUE)*CPF!C187+VLOOKUP(B187,'CPF Table'!$A$4:$G$8,5,TRUE)*CPF!D187)</f>
        <v>0</v>
      </c>
      <c r="G187" s="18">
        <f>VLOOKUP(B187,'CPF Table'!$A$13:$E$23,3,TRUE)*F187</f>
        <v>0</v>
      </c>
      <c r="H187" s="18">
        <f>VLOOKUP(B187,'CPF Table'!$A$13:$E$23,4,TRUE)*CPF!F187</f>
        <v>0</v>
      </c>
      <c r="I187" s="18">
        <f>VLOOKUP(B187,'CPF Table'!$A$13:$E$23,5,TRUE)*CPF!F187</f>
        <v>0</v>
      </c>
      <c r="J187" s="103">
        <f t="shared" si="4"/>
        <v>0</v>
      </c>
    </row>
    <row r="188" spans="3:10">
      <c r="C188" s="126">
        <v>0</v>
      </c>
      <c r="D188" s="127">
        <v>0</v>
      </c>
      <c r="E188" s="82">
        <f t="shared" si="5"/>
        <v>0</v>
      </c>
      <c r="F188" s="18">
        <f>IF(VLOOKUP(B188,'CPF Table'!$A$4:$G$8,5,TRUE)*CPF!C188&gt;=VLOOKUP(B188,'CPF Table'!$A$4:$G$8,6,TRUE),VLOOKUP(B188,'CPF Table'!$A$4:$G$8,5,TRUE)*C188+VLOOKUP(B188,'CPF Table'!$A$4:$G$8,5,TRUE)*CPF!D188,VLOOKUP(B188,'CPF Table'!$A$4:$G$8,5,TRUE)*CPF!C188+VLOOKUP(B188,'CPF Table'!$A$4:$G$8,5,TRUE)*CPF!D188)</f>
        <v>0</v>
      </c>
      <c r="G188" s="18">
        <f>VLOOKUP(B188,'CPF Table'!$A$13:$E$23,3,TRUE)*F188</f>
        <v>0</v>
      </c>
      <c r="H188" s="18">
        <f>VLOOKUP(B188,'CPF Table'!$A$13:$E$23,4,TRUE)*CPF!F188</f>
        <v>0</v>
      </c>
      <c r="I188" s="18">
        <f>VLOOKUP(B188,'CPF Table'!$A$13:$E$23,5,TRUE)*CPF!F188</f>
        <v>0</v>
      </c>
      <c r="J188" s="103">
        <f t="shared" si="4"/>
        <v>0</v>
      </c>
    </row>
    <row r="189" spans="3:10">
      <c r="C189" s="126">
        <v>0</v>
      </c>
      <c r="D189" s="127">
        <v>0</v>
      </c>
      <c r="E189" s="82">
        <f t="shared" si="5"/>
        <v>0</v>
      </c>
      <c r="F189" s="18">
        <f>IF(VLOOKUP(B189,'CPF Table'!$A$4:$G$8,5,TRUE)*CPF!C189&gt;=VLOOKUP(B189,'CPF Table'!$A$4:$G$8,6,TRUE),VLOOKUP(B189,'CPF Table'!$A$4:$G$8,5,TRUE)*C189+VLOOKUP(B189,'CPF Table'!$A$4:$G$8,5,TRUE)*CPF!D189,VLOOKUP(B189,'CPF Table'!$A$4:$G$8,5,TRUE)*CPF!C189+VLOOKUP(B189,'CPF Table'!$A$4:$G$8,5,TRUE)*CPF!D189)</f>
        <v>0</v>
      </c>
      <c r="G189" s="18">
        <f>VLOOKUP(B189,'CPF Table'!$A$13:$E$23,3,TRUE)*F189</f>
        <v>0</v>
      </c>
      <c r="H189" s="18">
        <f>VLOOKUP(B189,'CPF Table'!$A$13:$E$23,4,TRUE)*CPF!F189</f>
        <v>0</v>
      </c>
      <c r="I189" s="18">
        <f>VLOOKUP(B189,'CPF Table'!$A$13:$E$23,5,TRUE)*CPF!F189</f>
        <v>0</v>
      </c>
      <c r="J189" s="103">
        <f t="shared" si="4"/>
        <v>0</v>
      </c>
    </row>
    <row r="190" spans="3:10">
      <c r="C190" s="126">
        <v>0</v>
      </c>
      <c r="D190" s="127">
        <v>0</v>
      </c>
      <c r="E190" s="82">
        <f t="shared" si="5"/>
        <v>0</v>
      </c>
      <c r="F190" s="18">
        <f>IF(VLOOKUP(B190,'CPF Table'!$A$4:$G$8,5,TRUE)*CPF!C190&gt;=VLOOKUP(B190,'CPF Table'!$A$4:$G$8,6,TRUE),VLOOKUP(B190,'CPF Table'!$A$4:$G$8,5,TRUE)*C190+VLOOKUP(B190,'CPF Table'!$A$4:$G$8,5,TRUE)*CPF!D190,VLOOKUP(B190,'CPF Table'!$A$4:$G$8,5,TRUE)*CPF!C190+VLOOKUP(B190,'CPF Table'!$A$4:$G$8,5,TRUE)*CPF!D190)</f>
        <v>0</v>
      </c>
      <c r="G190" s="18">
        <f>VLOOKUP(B190,'CPF Table'!$A$13:$E$23,3,TRUE)*F190</f>
        <v>0</v>
      </c>
      <c r="H190" s="18">
        <f>VLOOKUP(B190,'CPF Table'!$A$13:$E$23,4,TRUE)*CPF!F190</f>
        <v>0</v>
      </c>
      <c r="I190" s="18">
        <f>VLOOKUP(B190,'CPF Table'!$A$13:$E$23,5,TRUE)*CPF!F190</f>
        <v>0</v>
      </c>
      <c r="J190" s="103">
        <f t="shared" si="4"/>
        <v>0</v>
      </c>
    </row>
    <row r="191" spans="3:10">
      <c r="C191" s="126">
        <v>0</v>
      </c>
      <c r="D191" s="127">
        <v>0</v>
      </c>
      <c r="E191" s="82">
        <f t="shared" si="5"/>
        <v>0</v>
      </c>
      <c r="F191" s="18">
        <f>IF(VLOOKUP(B191,'CPF Table'!$A$4:$G$8,5,TRUE)*CPF!C191&gt;=VLOOKUP(B191,'CPF Table'!$A$4:$G$8,6,TRUE),VLOOKUP(B191,'CPF Table'!$A$4:$G$8,5,TRUE)*C191+VLOOKUP(B191,'CPF Table'!$A$4:$G$8,5,TRUE)*CPF!D191,VLOOKUP(B191,'CPF Table'!$A$4:$G$8,5,TRUE)*CPF!C191+VLOOKUP(B191,'CPF Table'!$A$4:$G$8,5,TRUE)*CPF!D191)</f>
        <v>0</v>
      </c>
      <c r="G191" s="18">
        <f>VLOOKUP(B191,'CPF Table'!$A$13:$E$23,3,TRUE)*F191</f>
        <v>0</v>
      </c>
      <c r="H191" s="18">
        <f>VLOOKUP(B191,'CPF Table'!$A$13:$E$23,4,TRUE)*CPF!F191</f>
        <v>0</v>
      </c>
      <c r="I191" s="18">
        <f>VLOOKUP(B191,'CPF Table'!$A$13:$E$23,5,TRUE)*CPF!F191</f>
        <v>0</v>
      </c>
      <c r="J191" s="103">
        <f t="shared" si="4"/>
        <v>0</v>
      </c>
    </row>
    <row r="192" spans="3:10">
      <c r="C192" s="126">
        <v>0</v>
      </c>
      <c r="D192" s="127">
        <v>0</v>
      </c>
      <c r="E192" s="82">
        <f t="shared" si="5"/>
        <v>0</v>
      </c>
      <c r="F192" s="18">
        <f>IF(VLOOKUP(B192,'CPF Table'!$A$4:$G$8,5,TRUE)*CPF!C192&gt;=VLOOKUP(B192,'CPF Table'!$A$4:$G$8,6,TRUE),VLOOKUP(B192,'CPF Table'!$A$4:$G$8,5,TRUE)*C192+VLOOKUP(B192,'CPF Table'!$A$4:$G$8,5,TRUE)*CPF!D192,VLOOKUP(B192,'CPF Table'!$A$4:$G$8,5,TRUE)*CPF!C192+VLOOKUP(B192,'CPF Table'!$A$4:$G$8,5,TRUE)*CPF!D192)</f>
        <v>0</v>
      </c>
      <c r="G192" s="18">
        <f>VLOOKUP(B192,'CPF Table'!$A$13:$E$23,3,TRUE)*F192</f>
        <v>0</v>
      </c>
      <c r="H192" s="18">
        <f>VLOOKUP(B192,'CPF Table'!$A$13:$E$23,4,TRUE)*CPF!F192</f>
        <v>0</v>
      </c>
      <c r="I192" s="18">
        <f>VLOOKUP(B192,'CPF Table'!$A$13:$E$23,5,TRUE)*CPF!F192</f>
        <v>0</v>
      </c>
      <c r="J192" s="103">
        <f t="shared" si="4"/>
        <v>0</v>
      </c>
    </row>
    <row r="193" spans="3:10">
      <c r="C193" s="126">
        <v>0</v>
      </c>
      <c r="D193" s="127">
        <v>0</v>
      </c>
      <c r="E193" s="82">
        <f t="shared" si="5"/>
        <v>0</v>
      </c>
      <c r="F193" s="18">
        <f>IF(VLOOKUP(B193,'CPF Table'!$A$4:$G$8,5,TRUE)*CPF!C193&gt;=VLOOKUP(B193,'CPF Table'!$A$4:$G$8,6,TRUE),VLOOKUP(B193,'CPF Table'!$A$4:$G$8,5,TRUE)*C193+VLOOKUP(B193,'CPF Table'!$A$4:$G$8,5,TRUE)*CPF!D193,VLOOKUP(B193,'CPF Table'!$A$4:$G$8,5,TRUE)*CPF!C193+VLOOKUP(B193,'CPF Table'!$A$4:$G$8,5,TRUE)*CPF!D193)</f>
        <v>0</v>
      </c>
      <c r="G193" s="18">
        <f>VLOOKUP(B193,'CPF Table'!$A$13:$E$23,3,TRUE)*F193</f>
        <v>0</v>
      </c>
      <c r="H193" s="18">
        <f>VLOOKUP(B193,'CPF Table'!$A$13:$E$23,4,TRUE)*CPF!F193</f>
        <v>0</v>
      </c>
      <c r="I193" s="18">
        <f>VLOOKUP(B193,'CPF Table'!$A$13:$E$23,5,TRUE)*CPF!F193</f>
        <v>0</v>
      </c>
      <c r="J193" s="103">
        <f t="shared" si="4"/>
        <v>0</v>
      </c>
    </row>
    <row r="194" spans="3:10">
      <c r="C194" s="126">
        <v>0</v>
      </c>
      <c r="D194" s="127">
        <v>0</v>
      </c>
      <c r="E194" s="82">
        <f t="shared" si="5"/>
        <v>0</v>
      </c>
      <c r="F194" s="18">
        <f>IF(VLOOKUP(B194,'CPF Table'!$A$4:$G$8,5,TRUE)*CPF!C194&gt;=VLOOKUP(B194,'CPF Table'!$A$4:$G$8,6,TRUE),VLOOKUP(B194,'CPF Table'!$A$4:$G$8,5,TRUE)*C194+VLOOKUP(B194,'CPF Table'!$A$4:$G$8,5,TRUE)*CPF!D194,VLOOKUP(B194,'CPF Table'!$A$4:$G$8,5,TRUE)*CPF!C194+VLOOKUP(B194,'CPF Table'!$A$4:$G$8,5,TRUE)*CPF!D194)</f>
        <v>0</v>
      </c>
      <c r="G194" s="18">
        <f>VLOOKUP(B194,'CPF Table'!$A$13:$E$23,3,TRUE)*F194</f>
        <v>0</v>
      </c>
      <c r="H194" s="18">
        <f>VLOOKUP(B194,'CPF Table'!$A$13:$E$23,4,TRUE)*CPF!F194</f>
        <v>0</v>
      </c>
      <c r="I194" s="18">
        <f>VLOOKUP(B194,'CPF Table'!$A$13:$E$23,5,TRUE)*CPF!F194</f>
        <v>0</v>
      </c>
      <c r="J194" s="103">
        <f t="shared" si="4"/>
        <v>0</v>
      </c>
    </row>
    <row r="195" spans="3:10">
      <c r="C195" s="126">
        <v>0</v>
      </c>
      <c r="D195" s="127">
        <v>0</v>
      </c>
      <c r="E195" s="82">
        <f t="shared" si="5"/>
        <v>0</v>
      </c>
      <c r="F195" s="18">
        <f>IF(VLOOKUP(B195,'CPF Table'!$A$4:$G$8,5,TRUE)*CPF!C195&gt;=VLOOKUP(B195,'CPF Table'!$A$4:$G$8,6,TRUE),VLOOKUP(B195,'CPF Table'!$A$4:$G$8,5,TRUE)*C195+VLOOKUP(B195,'CPF Table'!$A$4:$G$8,5,TRUE)*CPF!D195,VLOOKUP(B195,'CPF Table'!$A$4:$G$8,5,TRUE)*CPF!C195+VLOOKUP(B195,'CPF Table'!$A$4:$G$8,5,TRUE)*CPF!D195)</f>
        <v>0</v>
      </c>
      <c r="G195" s="18">
        <f>VLOOKUP(B195,'CPF Table'!$A$13:$E$23,3,TRUE)*F195</f>
        <v>0</v>
      </c>
      <c r="H195" s="18">
        <f>VLOOKUP(B195,'CPF Table'!$A$13:$E$23,4,TRUE)*CPF!F195</f>
        <v>0</v>
      </c>
      <c r="I195" s="18">
        <f>VLOOKUP(B195,'CPF Table'!$A$13:$E$23,5,TRUE)*CPF!F195</f>
        <v>0</v>
      </c>
      <c r="J195" s="103">
        <f t="shared" si="4"/>
        <v>0</v>
      </c>
    </row>
    <row r="196" spans="3:10">
      <c r="C196" s="126">
        <v>0</v>
      </c>
      <c r="D196" s="127">
        <v>0</v>
      </c>
      <c r="E196" s="82">
        <f t="shared" si="5"/>
        <v>0</v>
      </c>
      <c r="F196" s="18">
        <f>IF(VLOOKUP(B196,'CPF Table'!$A$4:$G$8,5,TRUE)*CPF!C196&gt;=VLOOKUP(B196,'CPF Table'!$A$4:$G$8,6,TRUE),VLOOKUP(B196,'CPF Table'!$A$4:$G$8,5,TRUE)*C196+VLOOKUP(B196,'CPF Table'!$A$4:$G$8,5,TRUE)*CPF!D196,VLOOKUP(B196,'CPF Table'!$A$4:$G$8,5,TRUE)*CPF!C196+VLOOKUP(B196,'CPF Table'!$A$4:$G$8,5,TRUE)*CPF!D196)</f>
        <v>0</v>
      </c>
      <c r="G196" s="18">
        <f>VLOOKUP(B196,'CPF Table'!$A$13:$E$23,3,TRUE)*F196</f>
        <v>0</v>
      </c>
      <c r="H196" s="18">
        <f>VLOOKUP(B196,'CPF Table'!$A$13:$E$23,4,TRUE)*CPF!F196</f>
        <v>0</v>
      </c>
      <c r="I196" s="18">
        <f>VLOOKUP(B196,'CPF Table'!$A$13:$E$23,5,TRUE)*CPF!F196</f>
        <v>0</v>
      </c>
      <c r="J196" s="103">
        <f t="shared" si="4"/>
        <v>0</v>
      </c>
    </row>
    <row r="197" spans="3:10">
      <c r="C197" s="126">
        <v>0</v>
      </c>
      <c r="D197" s="127">
        <v>0</v>
      </c>
      <c r="E197" s="82">
        <f t="shared" si="5"/>
        <v>0</v>
      </c>
      <c r="F197" s="18">
        <f>IF(VLOOKUP(B197,'CPF Table'!$A$4:$G$8,5,TRUE)*CPF!C197&gt;=VLOOKUP(B197,'CPF Table'!$A$4:$G$8,6,TRUE),VLOOKUP(B197,'CPF Table'!$A$4:$G$8,5,TRUE)*C197+VLOOKUP(B197,'CPF Table'!$A$4:$G$8,5,TRUE)*CPF!D197,VLOOKUP(B197,'CPF Table'!$A$4:$G$8,5,TRUE)*CPF!C197+VLOOKUP(B197,'CPF Table'!$A$4:$G$8,5,TRUE)*CPF!D197)</f>
        <v>0</v>
      </c>
      <c r="G197" s="18">
        <f>VLOOKUP(B197,'CPF Table'!$A$13:$E$23,3,TRUE)*F197</f>
        <v>0</v>
      </c>
      <c r="H197" s="18">
        <f>VLOOKUP(B197,'CPF Table'!$A$13:$E$23,4,TRUE)*CPF!F197</f>
        <v>0</v>
      </c>
      <c r="I197" s="18">
        <f>VLOOKUP(B197,'CPF Table'!$A$13:$E$23,5,TRUE)*CPF!F197</f>
        <v>0</v>
      </c>
      <c r="J197" s="103">
        <f t="shared" si="4"/>
        <v>0</v>
      </c>
    </row>
    <row r="198" spans="3:10">
      <c r="C198" s="126">
        <v>0</v>
      </c>
      <c r="D198" s="127">
        <v>0</v>
      </c>
      <c r="E198" s="82">
        <f t="shared" si="5"/>
        <v>0</v>
      </c>
      <c r="F198" s="18">
        <f>IF(VLOOKUP(B198,'CPF Table'!$A$4:$G$8,5,TRUE)*CPF!C198&gt;=VLOOKUP(B198,'CPF Table'!$A$4:$G$8,6,TRUE),VLOOKUP(B198,'CPF Table'!$A$4:$G$8,5,TRUE)*C198+VLOOKUP(B198,'CPF Table'!$A$4:$G$8,5,TRUE)*CPF!D198,VLOOKUP(B198,'CPF Table'!$A$4:$G$8,5,TRUE)*CPF!C198+VLOOKUP(B198,'CPF Table'!$A$4:$G$8,5,TRUE)*CPF!D198)</f>
        <v>0</v>
      </c>
      <c r="G198" s="18">
        <f>VLOOKUP(B198,'CPF Table'!$A$13:$E$23,3,TRUE)*F198</f>
        <v>0</v>
      </c>
      <c r="H198" s="18">
        <f>VLOOKUP(B198,'CPF Table'!$A$13:$E$23,4,TRUE)*CPF!F198</f>
        <v>0</v>
      </c>
      <c r="I198" s="18">
        <f>VLOOKUP(B198,'CPF Table'!$A$13:$E$23,5,TRUE)*CPF!F198</f>
        <v>0</v>
      </c>
      <c r="J198" s="103">
        <f t="shared" si="4"/>
        <v>0</v>
      </c>
    </row>
    <row r="199" spans="3:10">
      <c r="C199" s="126">
        <v>0</v>
      </c>
      <c r="D199" s="127">
        <v>0</v>
      </c>
      <c r="E199" s="82">
        <f t="shared" si="5"/>
        <v>0</v>
      </c>
      <c r="F199" s="18">
        <f>IF(VLOOKUP(B199,'CPF Table'!$A$4:$G$8,5,TRUE)*CPF!C199&gt;=VLOOKUP(B199,'CPF Table'!$A$4:$G$8,6,TRUE),VLOOKUP(B199,'CPF Table'!$A$4:$G$8,5,TRUE)*C199+VLOOKUP(B199,'CPF Table'!$A$4:$G$8,5,TRUE)*CPF!D199,VLOOKUP(B199,'CPF Table'!$A$4:$G$8,5,TRUE)*CPF!C199+VLOOKUP(B199,'CPF Table'!$A$4:$G$8,5,TRUE)*CPF!D199)</f>
        <v>0</v>
      </c>
      <c r="G199" s="18">
        <f>VLOOKUP(B199,'CPF Table'!$A$13:$E$23,3,TRUE)*F199</f>
        <v>0</v>
      </c>
      <c r="H199" s="18">
        <f>VLOOKUP(B199,'CPF Table'!$A$13:$E$23,4,TRUE)*CPF!F199</f>
        <v>0</v>
      </c>
      <c r="I199" s="18">
        <f>VLOOKUP(B199,'CPF Table'!$A$13:$E$23,5,TRUE)*CPF!F199</f>
        <v>0</v>
      </c>
      <c r="J199" s="103">
        <f t="shared" si="4"/>
        <v>0</v>
      </c>
    </row>
    <row r="200" spans="3:10">
      <c r="C200" s="126">
        <v>0</v>
      </c>
      <c r="D200" s="127">
        <v>0</v>
      </c>
      <c r="E200" s="82">
        <f t="shared" si="5"/>
        <v>0</v>
      </c>
      <c r="F200" s="18">
        <f>IF(VLOOKUP(B200,'CPF Table'!$A$4:$G$8,5,TRUE)*CPF!C200&gt;=VLOOKUP(B200,'CPF Table'!$A$4:$G$8,6,TRUE),VLOOKUP(B200,'CPF Table'!$A$4:$G$8,5,TRUE)*C200+VLOOKUP(B200,'CPF Table'!$A$4:$G$8,5,TRUE)*CPF!D200,VLOOKUP(B200,'CPF Table'!$A$4:$G$8,5,TRUE)*CPF!C200+VLOOKUP(B200,'CPF Table'!$A$4:$G$8,5,TRUE)*CPF!D200)</f>
        <v>0</v>
      </c>
      <c r="G200" s="18">
        <f>VLOOKUP(B200,'CPF Table'!$A$13:$E$23,3,TRUE)*F200</f>
        <v>0</v>
      </c>
      <c r="H200" s="18">
        <f>VLOOKUP(B200,'CPF Table'!$A$13:$E$23,4,TRUE)*CPF!F200</f>
        <v>0</v>
      </c>
      <c r="I200" s="18">
        <f>VLOOKUP(B200,'CPF Table'!$A$13:$E$23,5,TRUE)*CPF!F200</f>
        <v>0</v>
      </c>
      <c r="J200" s="103">
        <f t="shared" si="4"/>
        <v>0</v>
      </c>
    </row>
    <row r="201" spans="3:10">
      <c r="C201" s="126">
        <v>0</v>
      </c>
      <c r="D201" s="127">
        <v>0</v>
      </c>
      <c r="E201" s="82">
        <f t="shared" si="5"/>
        <v>0</v>
      </c>
      <c r="F201" s="18">
        <f>IF(VLOOKUP(B201,'CPF Table'!$A$4:$G$8,5,TRUE)*CPF!C201&gt;=VLOOKUP(B201,'CPF Table'!$A$4:$G$8,6,TRUE),VLOOKUP(B201,'CPF Table'!$A$4:$G$8,5,TRUE)*C201+VLOOKUP(B201,'CPF Table'!$A$4:$G$8,5,TRUE)*CPF!D201,VLOOKUP(B201,'CPF Table'!$A$4:$G$8,5,TRUE)*CPF!C201+VLOOKUP(B201,'CPF Table'!$A$4:$G$8,5,TRUE)*CPF!D201)</f>
        <v>0</v>
      </c>
      <c r="G201" s="18">
        <f>VLOOKUP(B201,'CPF Table'!$A$13:$E$23,3,TRUE)*F201</f>
        <v>0</v>
      </c>
      <c r="H201" s="18">
        <f>VLOOKUP(B201,'CPF Table'!$A$13:$E$23,4,TRUE)*CPF!F201</f>
        <v>0</v>
      </c>
      <c r="I201" s="18">
        <f>VLOOKUP(B201,'CPF Table'!$A$13:$E$23,5,TRUE)*CPF!F201</f>
        <v>0</v>
      </c>
      <c r="J201" s="103">
        <f t="shared" si="4"/>
        <v>0</v>
      </c>
    </row>
    <row r="202" spans="3:10">
      <c r="C202" s="126">
        <v>0</v>
      </c>
      <c r="D202" s="127">
        <v>0</v>
      </c>
      <c r="E202" s="82">
        <f t="shared" si="5"/>
        <v>0</v>
      </c>
      <c r="F202" s="18">
        <f>IF(VLOOKUP(B202,'CPF Table'!$A$4:$G$8,5,TRUE)*CPF!C202&gt;=VLOOKUP(B202,'CPF Table'!$A$4:$G$8,6,TRUE),VLOOKUP(B202,'CPF Table'!$A$4:$G$8,5,TRUE)*C202+VLOOKUP(B202,'CPF Table'!$A$4:$G$8,5,TRUE)*CPF!D202,VLOOKUP(B202,'CPF Table'!$A$4:$G$8,5,TRUE)*CPF!C202+VLOOKUP(B202,'CPF Table'!$A$4:$G$8,5,TRUE)*CPF!D202)</f>
        <v>0</v>
      </c>
      <c r="G202" s="18">
        <f>VLOOKUP(B202,'CPF Table'!$A$13:$E$23,3,TRUE)*F202</f>
        <v>0</v>
      </c>
      <c r="H202" s="18">
        <f>VLOOKUP(B202,'CPF Table'!$A$13:$E$23,4,TRUE)*CPF!F202</f>
        <v>0</v>
      </c>
      <c r="I202" s="18">
        <f>VLOOKUP(B202,'CPF Table'!$A$13:$E$23,5,TRUE)*CPF!F202</f>
        <v>0</v>
      </c>
      <c r="J202" s="103">
        <f t="shared" si="4"/>
        <v>0</v>
      </c>
    </row>
    <row r="203" spans="3:10">
      <c r="C203" s="126">
        <v>0</v>
      </c>
      <c r="D203" s="127">
        <v>0</v>
      </c>
      <c r="E203" s="82">
        <f t="shared" si="5"/>
        <v>0</v>
      </c>
      <c r="F203" s="18">
        <f>IF(VLOOKUP(B203,'CPF Table'!$A$4:$G$8,5,TRUE)*CPF!C203&gt;=VLOOKUP(B203,'CPF Table'!$A$4:$G$8,6,TRUE),VLOOKUP(B203,'CPF Table'!$A$4:$G$8,5,TRUE)*C203+VLOOKUP(B203,'CPF Table'!$A$4:$G$8,5,TRUE)*CPF!D203,VLOOKUP(B203,'CPF Table'!$A$4:$G$8,5,TRUE)*CPF!C203+VLOOKUP(B203,'CPF Table'!$A$4:$G$8,5,TRUE)*CPF!D203)</f>
        <v>0</v>
      </c>
      <c r="G203" s="18">
        <f>VLOOKUP(B203,'CPF Table'!$A$13:$E$23,3,TRUE)*F203</f>
        <v>0</v>
      </c>
      <c r="H203" s="18">
        <f>VLOOKUP(B203,'CPF Table'!$A$13:$E$23,4,TRUE)*CPF!F203</f>
        <v>0</v>
      </c>
      <c r="I203" s="18">
        <f>VLOOKUP(B203,'CPF Table'!$A$13:$E$23,5,TRUE)*CPF!F203</f>
        <v>0</v>
      </c>
      <c r="J203" s="103">
        <f t="shared" si="4"/>
        <v>0</v>
      </c>
    </row>
    <row r="204" spans="3:10">
      <c r="C204" s="126">
        <v>0</v>
      </c>
      <c r="D204" s="127">
        <v>0</v>
      </c>
      <c r="E204" s="82">
        <f t="shared" si="5"/>
        <v>0</v>
      </c>
      <c r="F204" s="18">
        <f>IF(VLOOKUP(B204,'CPF Table'!$A$4:$G$8,5,TRUE)*CPF!C204&gt;=VLOOKUP(B204,'CPF Table'!$A$4:$G$8,6,TRUE),VLOOKUP(B204,'CPF Table'!$A$4:$G$8,5,TRUE)*C204+VLOOKUP(B204,'CPF Table'!$A$4:$G$8,5,TRUE)*CPF!D204,VLOOKUP(B204,'CPF Table'!$A$4:$G$8,5,TRUE)*CPF!C204+VLOOKUP(B204,'CPF Table'!$A$4:$G$8,5,TRUE)*CPF!D204)</f>
        <v>0</v>
      </c>
      <c r="G204" s="18">
        <f>VLOOKUP(B204,'CPF Table'!$A$13:$E$23,3,TRUE)*F204</f>
        <v>0</v>
      </c>
      <c r="H204" s="18">
        <f>VLOOKUP(B204,'CPF Table'!$A$13:$E$23,4,TRUE)*CPF!F204</f>
        <v>0</v>
      </c>
      <c r="I204" s="18">
        <f>VLOOKUP(B204,'CPF Table'!$A$13:$E$23,5,TRUE)*CPF!F204</f>
        <v>0</v>
      </c>
      <c r="J204" s="103">
        <f t="shared" si="4"/>
        <v>0</v>
      </c>
    </row>
    <row r="205" spans="3:10">
      <c r="C205" s="126">
        <v>0</v>
      </c>
      <c r="D205" s="127">
        <v>0</v>
      </c>
      <c r="E205" s="82">
        <f t="shared" si="5"/>
        <v>0</v>
      </c>
      <c r="F205" s="18">
        <f>IF(VLOOKUP(B205,'CPF Table'!$A$4:$G$8,5,TRUE)*CPF!C205&gt;=VLOOKUP(B205,'CPF Table'!$A$4:$G$8,6,TRUE),VLOOKUP(B205,'CPF Table'!$A$4:$G$8,5,TRUE)*C205+VLOOKUP(B205,'CPF Table'!$A$4:$G$8,5,TRUE)*CPF!D205,VLOOKUP(B205,'CPF Table'!$A$4:$G$8,5,TRUE)*CPF!C205+VLOOKUP(B205,'CPF Table'!$A$4:$G$8,5,TRUE)*CPF!D205)</f>
        <v>0</v>
      </c>
      <c r="G205" s="18">
        <f>VLOOKUP(B205,'CPF Table'!$A$13:$E$23,3,TRUE)*F205</f>
        <v>0</v>
      </c>
      <c r="H205" s="18">
        <f>VLOOKUP(B205,'CPF Table'!$A$13:$E$23,4,TRUE)*CPF!F205</f>
        <v>0</v>
      </c>
      <c r="I205" s="18">
        <f>VLOOKUP(B205,'CPF Table'!$A$13:$E$23,5,TRUE)*CPF!F205</f>
        <v>0</v>
      </c>
      <c r="J205" s="103">
        <f t="shared" si="4"/>
        <v>0</v>
      </c>
    </row>
    <row r="206" spans="3:10">
      <c r="C206" s="126">
        <v>0</v>
      </c>
      <c r="D206" s="127">
        <v>0</v>
      </c>
      <c r="E206" s="82">
        <f t="shared" si="5"/>
        <v>0</v>
      </c>
      <c r="F206" s="18">
        <f>IF(VLOOKUP(B206,'CPF Table'!$A$4:$G$8,5,TRUE)*CPF!C206&gt;=VLOOKUP(B206,'CPF Table'!$A$4:$G$8,6,TRUE),VLOOKUP(B206,'CPF Table'!$A$4:$G$8,5,TRUE)*C206+VLOOKUP(B206,'CPF Table'!$A$4:$G$8,5,TRUE)*CPF!D206,VLOOKUP(B206,'CPF Table'!$A$4:$G$8,5,TRUE)*CPF!C206+VLOOKUP(B206,'CPF Table'!$A$4:$G$8,5,TRUE)*CPF!D206)</f>
        <v>0</v>
      </c>
      <c r="G206" s="18">
        <f>VLOOKUP(B206,'CPF Table'!$A$13:$E$23,3,TRUE)*F206</f>
        <v>0</v>
      </c>
      <c r="H206" s="18">
        <f>VLOOKUP(B206,'CPF Table'!$A$13:$E$23,4,TRUE)*CPF!F206</f>
        <v>0</v>
      </c>
      <c r="I206" s="18">
        <f>VLOOKUP(B206,'CPF Table'!$A$13:$E$23,5,TRUE)*CPF!F206</f>
        <v>0</v>
      </c>
      <c r="J206" s="103">
        <f t="shared" ref="J206:J269" si="6">E206-F206</f>
        <v>0</v>
      </c>
    </row>
    <row r="207" spans="3:10">
      <c r="C207" s="126">
        <v>0</v>
      </c>
      <c r="D207" s="127">
        <v>0</v>
      </c>
      <c r="E207" s="82">
        <f t="shared" ref="E207:E270" si="7">C207+D207</f>
        <v>0</v>
      </c>
      <c r="F207" s="18">
        <f>IF(VLOOKUP(B207,'CPF Table'!$A$4:$G$8,5,TRUE)*CPF!C207&gt;=VLOOKUP(B207,'CPF Table'!$A$4:$G$8,6,TRUE),VLOOKUP(B207,'CPF Table'!$A$4:$G$8,5,TRUE)*C207+VLOOKUP(B207,'CPF Table'!$A$4:$G$8,5,TRUE)*CPF!D207,VLOOKUP(B207,'CPF Table'!$A$4:$G$8,5,TRUE)*CPF!C207+VLOOKUP(B207,'CPF Table'!$A$4:$G$8,5,TRUE)*CPF!D207)</f>
        <v>0</v>
      </c>
      <c r="G207" s="18">
        <f>VLOOKUP(B207,'CPF Table'!$A$13:$E$23,3,TRUE)*F207</f>
        <v>0</v>
      </c>
      <c r="H207" s="18">
        <f>VLOOKUP(B207,'CPF Table'!$A$13:$E$23,4,TRUE)*CPF!F207</f>
        <v>0</v>
      </c>
      <c r="I207" s="18">
        <f>VLOOKUP(B207,'CPF Table'!$A$13:$E$23,5,TRUE)*CPF!F207</f>
        <v>0</v>
      </c>
      <c r="J207" s="103">
        <f t="shared" si="6"/>
        <v>0</v>
      </c>
    </row>
    <row r="208" spans="3:10">
      <c r="C208" s="126">
        <v>0</v>
      </c>
      <c r="D208" s="127">
        <v>0</v>
      </c>
      <c r="E208" s="82">
        <f t="shared" si="7"/>
        <v>0</v>
      </c>
      <c r="F208" s="18">
        <f>IF(VLOOKUP(B208,'CPF Table'!$A$4:$G$8,5,TRUE)*CPF!C208&gt;=VLOOKUP(B208,'CPF Table'!$A$4:$G$8,6,TRUE),VLOOKUP(B208,'CPF Table'!$A$4:$G$8,5,TRUE)*C208+VLOOKUP(B208,'CPF Table'!$A$4:$G$8,5,TRUE)*CPF!D208,VLOOKUP(B208,'CPF Table'!$A$4:$G$8,5,TRUE)*CPF!C208+VLOOKUP(B208,'CPF Table'!$A$4:$G$8,5,TRUE)*CPF!D208)</f>
        <v>0</v>
      </c>
      <c r="G208" s="18">
        <f>VLOOKUP(B208,'CPF Table'!$A$13:$E$23,3,TRUE)*F208</f>
        <v>0</v>
      </c>
      <c r="H208" s="18">
        <f>VLOOKUP(B208,'CPF Table'!$A$13:$E$23,4,TRUE)*CPF!F208</f>
        <v>0</v>
      </c>
      <c r="I208" s="18">
        <f>VLOOKUP(B208,'CPF Table'!$A$13:$E$23,5,TRUE)*CPF!F208</f>
        <v>0</v>
      </c>
      <c r="J208" s="103">
        <f t="shared" si="6"/>
        <v>0</v>
      </c>
    </row>
    <row r="209" spans="3:10">
      <c r="C209" s="126">
        <v>0</v>
      </c>
      <c r="D209" s="127">
        <v>0</v>
      </c>
      <c r="E209" s="82">
        <f t="shared" si="7"/>
        <v>0</v>
      </c>
      <c r="F209" s="18">
        <f>IF(VLOOKUP(B209,'CPF Table'!$A$4:$G$8,5,TRUE)*CPF!C209&gt;=VLOOKUP(B209,'CPF Table'!$A$4:$G$8,6,TRUE),VLOOKUP(B209,'CPF Table'!$A$4:$G$8,5,TRUE)*C209+VLOOKUP(B209,'CPF Table'!$A$4:$G$8,5,TRUE)*CPF!D209,VLOOKUP(B209,'CPF Table'!$A$4:$G$8,5,TRUE)*CPF!C209+VLOOKUP(B209,'CPF Table'!$A$4:$G$8,5,TRUE)*CPF!D209)</f>
        <v>0</v>
      </c>
      <c r="G209" s="18">
        <f>VLOOKUP(B209,'CPF Table'!$A$13:$E$23,3,TRUE)*F209</f>
        <v>0</v>
      </c>
      <c r="H209" s="18">
        <f>VLOOKUP(B209,'CPF Table'!$A$13:$E$23,4,TRUE)*CPF!F209</f>
        <v>0</v>
      </c>
      <c r="I209" s="18">
        <f>VLOOKUP(B209,'CPF Table'!$A$13:$E$23,5,TRUE)*CPF!F209</f>
        <v>0</v>
      </c>
      <c r="J209" s="103">
        <f t="shared" si="6"/>
        <v>0</v>
      </c>
    </row>
    <row r="210" spans="3:10">
      <c r="C210" s="126">
        <v>0</v>
      </c>
      <c r="D210" s="127">
        <v>0</v>
      </c>
      <c r="E210" s="82">
        <f t="shared" si="7"/>
        <v>0</v>
      </c>
      <c r="F210" s="18">
        <f>IF(VLOOKUP(B210,'CPF Table'!$A$4:$G$8,5,TRUE)*CPF!C210&gt;=VLOOKUP(B210,'CPF Table'!$A$4:$G$8,6,TRUE),VLOOKUP(B210,'CPF Table'!$A$4:$G$8,5,TRUE)*C210+VLOOKUP(B210,'CPF Table'!$A$4:$G$8,5,TRUE)*CPF!D210,VLOOKUP(B210,'CPF Table'!$A$4:$G$8,5,TRUE)*CPF!C210+VLOOKUP(B210,'CPF Table'!$A$4:$G$8,5,TRUE)*CPF!D210)</f>
        <v>0</v>
      </c>
      <c r="G210" s="18">
        <f>VLOOKUP(B210,'CPF Table'!$A$13:$E$23,3,TRUE)*F210</f>
        <v>0</v>
      </c>
      <c r="H210" s="18">
        <f>VLOOKUP(B210,'CPF Table'!$A$13:$E$23,4,TRUE)*CPF!F210</f>
        <v>0</v>
      </c>
      <c r="I210" s="18">
        <f>VLOOKUP(B210,'CPF Table'!$A$13:$E$23,5,TRUE)*CPF!F210</f>
        <v>0</v>
      </c>
      <c r="J210" s="103">
        <f t="shared" si="6"/>
        <v>0</v>
      </c>
    </row>
    <row r="211" spans="3:10">
      <c r="C211" s="126">
        <v>0</v>
      </c>
      <c r="D211" s="127">
        <v>0</v>
      </c>
      <c r="E211" s="82">
        <f t="shared" si="7"/>
        <v>0</v>
      </c>
      <c r="F211" s="18">
        <f>IF(VLOOKUP(B211,'CPF Table'!$A$4:$G$8,5,TRUE)*CPF!C211&gt;=VLOOKUP(B211,'CPF Table'!$A$4:$G$8,6,TRUE),VLOOKUP(B211,'CPF Table'!$A$4:$G$8,5,TRUE)*C211+VLOOKUP(B211,'CPF Table'!$A$4:$G$8,5,TRUE)*CPF!D211,VLOOKUP(B211,'CPF Table'!$A$4:$G$8,5,TRUE)*CPF!C211+VLOOKUP(B211,'CPF Table'!$A$4:$G$8,5,TRUE)*CPF!D211)</f>
        <v>0</v>
      </c>
      <c r="G211" s="18">
        <f>VLOOKUP(B211,'CPF Table'!$A$13:$E$23,3,TRUE)*F211</f>
        <v>0</v>
      </c>
      <c r="H211" s="18">
        <f>VLOOKUP(B211,'CPF Table'!$A$13:$E$23,4,TRUE)*CPF!F211</f>
        <v>0</v>
      </c>
      <c r="I211" s="18">
        <f>VLOOKUP(B211,'CPF Table'!$A$13:$E$23,5,TRUE)*CPF!F211</f>
        <v>0</v>
      </c>
      <c r="J211" s="103">
        <f t="shared" si="6"/>
        <v>0</v>
      </c>
    </row>
    <row r="212" spans="3:10">
      <c r="C212" s="126">
        <v>0</v>
      </c>
      <c r="D212" s="127">
        <v>0</v>
      </c>
      <c r="E212" s="82">
        <f t="shared" si="7"/>
        <v>0</v>
      </c>
      <c r="F212" s="18">
        <f>IF(VLOOKUP(B212,'CPF Table'!$A$4:$G$8,5,TRUE)*CPF!C212&gt;=VLOOKUP(B212,'CPF Table'!$A$4:$G$8,6,TRUE),VLOOKUP(B212,'CPF Table'!$A$4:$G$8,5,TRUE)*C212+VLOOKUP(B212,'CPF Table'!$A$4:$G$8,5,TRUE)*CPF!D212,VLOOKUP(B212,'CPF Table'!$A$4:$G$8,5,TRUE)*CPF!C212+VLOOKUP(B212,'CPF Table'!$A$4:$G$8,5,TRUE)*CPF!D212)</f>
        <v>0</v>
      </c>
      <c r="G212" s="18">
        <f>VLOOKUP(B212,'CPF Table'!$A$13:$E$23,3,TRUE)*F212</f>
        <v>0</v>
      </c>
      <c r="H212" s="18">
        <f>VLOOKUP(B212,'CPF Table'!$A$13:$E$23,4,TRUE)*CPF!F212</f>
        <v>0</v>
      </c>
      <c r="I212" s="18">
        <f>VLOOKUP(B212,'CPF Table'!$A$13:$E$23,5,TRUE)*CPF!F212</f>
        <v>0</v>
      </c>
      <c r="J212" s="103">
        <f t="shared" si="6"/>
        <v>0</v>
      </c>
    </row>
    <row r="213" spans="3:10">
      <c r="C213" s="126">
        <v>0</v>
      </c>
      <c r="D213" s="127">
        <v>0</v>
      </c>
      <c r="E213" s="82">
        <f t="shared" si="7"/>
        <v>0</v>
      </c>
      <c r="F213" s="18">
        <f>IF(VLOOKUP(B213,'CPF Table'!$A$4:$G$8,5,TRUE)*CPF!C213&gt;=VLOOKUP(B213,'CPF Table'!$A$4:$G$8,6,TRUE),VLOOKUP(B213,'CPF Table'!$A$4:$G$8,5,TRUE)*C213+VLOOKUP(B213,'CPF Table'!$A$4:$G$8,5,TRUE)*CPF!D213,VLOOKUP(B213,'CPF Table'!$A$4:$G$8,5,TRUE)*CPF!C213+VLOOKUP(B213,'CPF Table'!$A$4:$G$8,5,TRUE)*CPF!D213)</f>
        <v>0</v>
      </c>
      <c r="G213" s="18">
        <f>VLOOKUP(B213,'CPF Table'!$A$13:$E$23,3,TRUE)*F213</f>
        <v>0</v>
      </c>
      <c r="H213" s="18">
        <f>VLOOKUP(B213,'CPF Table'!$A$13:$E$23,4,TRUE)*CPF!F213</f>
        <v>0</v>
      </c>
      <c r="I213" s="18">
        <f>VLOOKUP(B213,'CPF Table'!$A$13:$E$23,5,TRUE)*CPF!F213</f>
        <v>0</v>
      </c>
      <c r="J213" s="103">
        <f t="shared" si="6"/>
        <v>0</v>
      </c>
    </row>
    <row r="214" spans="3:10">
      <c r="C214" s="126">
        <v>0</v>
      </c>
      <c r="D214" s="127">
        <v>0</v>
      </c>
      <c r="E214" s="82">
        <f t="shared" si="7"/>
        <v>0</v>
      </c>
      <c r="F214" s="18">
        <f>IF(VLOOKUP(B214,'CPF Table'!$A$4:$G$8,5,TRUE)*CPF!C214&gt;=VLOOKUP(B214,'CPF Table'!$A$4:$G$8,6,TRUE),VLOOKUP(B214,'CPF Table'!$A$4:$G$8,5,TRUE)*C214+VLOOKUP(B214,'CPF Table'!$A$4:$G$8,5,TRUE)*CPF!D214,VLOOKUP(B214,'CPF Table'!$A$4:$G$8,5,TRUE)*CPF!C214+VLOOKUP(B214,'CPF Table'!$A$4:$G$8,5,TRUE)*CPF!D214)</f>
        <v>0</v>
      </c>
      <c r="G214" s="18">
        <f>VLOOKUP(B214,'CPF Table'!$A$13:$E$23,3,TRUE)*F214</f>
        <v>0</v>
      </c>
      <c r="H214" s="18">
        <f>VLOOKUP(B214,'CPF Table'!$A$13:$E$23,4,TRUE)*CPF!F214</f>
        <v>0</v>
      </c>
      <c r="I214" s="18">
        <f>VLOOKUP(B214,'CPF Table'!$A$13:$E$23,5,TRUE)*CPF!F214</f>
        <v>0</v>
      </c>
      <c r="J214" s="103">
        <f t="shared" si="6"/>
        <v>0</v>
      </c>
    </row>
    <row r="215" spans="3:10">
      <c r="C215" s="126">
        <v>0</v>
      </c>
      <c r="D215" s="127">
        <v>0</v>
      </c>
      <c r="E215" s="82">
        <f t="shared" si="7"/>
        <v>0</v>
      </c>
      <c r="F215" s="18">
        <f>IF(VLOOKUP(B215,'CPF Table'!$A$4:$G$8,5,TRUE)*CPF!C215&gt;=VLOOKUP(B215,'CPF Table'!$A$4:$G$8,6,TRUE),VLOOKUP(B215,'CPF Table'!$A$4:$G$8,5,TRUE)*C215+VLOOKUP(B215,'CPF Table'!$A$4:$G$8,5,TRUE)*CPF!D215,VLOOKUP(B215,'CPF Table'!$A$4:$G$8,5,TRUE)*CPF!C215+VLOOKUP(B215,'CPF Table'!$A$4:$G$8,5,TRUE)*CPF!D215)</f>
        <v>0</v>
      </c>
      <c r="G215" s="18">
        <f>VLOOKUP(B215,'CPF Table'!$A$13:$E$23,3,TRUE)*F215</f>
        <v>0</v>
      </c>
      <c r="H215" s="18">
        <f>VLOOKUP(B215,'CPF Table'!$A$13:$E$23,4,TRUE)*CPF!F215</f>
        <v>0</v>
      </c>
      <c r="I215" s="18">
        <f>VLOOKUP(B215,'CPF Table'!$A$13:$E$23,5,TRUE)*CPF!F215</f>
        <v>0</v>
      </c>
      <c r="J215" s="103">
        <f t="shared" si="6"/>
        <v>0</v>
      </c>
    </row>
    <row r="216" spans="3:10">
      <c r="C216" s="126">
        <v>0</v>
      </c>
      <c r="D216" s="127">
        <v>0</v>
      </c>
      <c r="E216" s="82">
        <f t="shared" si="7"/>
        <v>0</v>
      </c>
      <c r="F216" s="18">
        <f>IF(VLOOKUP(B216,'CPF Table'!$A$4:$G$8,5,TRUE)*CPF!C216&gt;=VLOOKUP(B216,'CPF Table'!$A$4:$G$8,6,TRUE),VLOOKUP(B216,'CPF Table'!$A$4:$G$8,5,TRUE)*C216+VLOOKUP(B216,'CPF Table'!$A$4:$G$8,5,TRUE)*CPF!D216,VLOOKUP(B216,'CPF Table'!$A$4:$G$8,5,TRUE)*CPF!C216+VLOOKUP(B216,'CPF Table'!$A$4:$G$8,5,TRUE)*CPF!D216)</f>
        <v>0</v>
      </c>
      <c r="G216" s="18">
        <f>VLOOKUP(B216,'CPF Table'!$A$13:$E$23,3,TRUE)*F216</f>
        <v>0</v>
      </c>
      <c r="H216" s="18">
        <f>VLOOKUP(B216,'CPF Table'!$A$13:$E$23,4,TRUE)*CPF!F216</f>
        <v>0</v>
      </c>
      <c r="I216" s="18">
        <f>VLOOKUP(B216,'CPF Table'!$A$13:$E$23,5,TRUE)*CPF!F216</f>
        <v>0</v>
      </c>
      <c r="J216" s="103">
        <f t="shared" si="6"/>
        <v>0</v>
      </c>
    </row>
    <row r="217" spans="3:10">
      <c r="C217" s="126">
        <v>0</v>
      </c>
      <c r="D217" s="127">
        <v>0</v>
      </c>
      <c r="E217" s="82">
        <f t="shared" si="7"/>
        <v>0</v>
      </c>
      <c r="F217" s="18">
        <f>IF(VLOOKUP(B217,'CPF Table'!$A$4:$G$8,5,TRUE)*CPF!C217&gt;=VLOOKUP(B217,'CPF Table'!$A$4:$G$8,6,TRUE),VLOOKUP(B217,'CPF Table'!$A$4:$G$8,5,TRUE)*C217+VLOOKUP(B217,'CPF Table'!$A$4:$G$8,5,TRUE)*CPF!D217,VLOOKUP(B217,'CPF Table'!$A$4:$G$8,5,TRUE)*CPF!C217+VLOOKUP(B217,'CPF Table'!$A$4:$G$8,5,TRUE)*CPF!D217)</f>
        <v>0</v>
      </c>
      <c r="G217" s="18">
        <f>VLOOKUP(B217,'CPF Table'!$A$13:$E$23,3,TRUE)*F217</f>
        <v>0</v>
      </c>
      <c r="H217" s="18">
        <f>VLOOKUP(B217,'CPF Table'!$A$13:$E$23,4,TRUE)*CPF!F217</f>
        <v>0</v>
      </c>
      <c r="I217" s="18">
        <f>VLOOKUP(B217,'CPF Table'!$A$13:$E$23,5,TRUE)*CPF!F217</f>
        <v>0</v>
      </c>
      <c r="J217" s="103">
        <f t="shared" si="6"/>
        <v>0</v>
      </c>
    </row>
    <row r="218" spans="3:10">
      <c r="C218" s="126">
        <v>0</v>
      </c>
      <c r="D218" s="127">
        <v>0</v>
      </c>
      <c r="E218" s="82">
        <f t="shared" si="7"/>
        <v>0</v>
      </c>
      <c r="F218" s="18">
        <f>IF(VLOOKUP(B218,'CPF Table'!$A$4:$G$8,5,TRUE)*CPF!C218&gt;=VLOOKUP(B218,'CPF Table'!$A$4:$G$8,6,TRUE),VLOOKUP(B218,'CPF Table'!$A$4:$G$8,5,TRUE)*C218+VLOOKUP(B218,'CPF Table'!$A$4:$G$8,5,TRUE)*CPF!D218,VLOOKUP(B218,'CPF Table'!$A$4:$G$8,5,TRUE)*CPF!C218+VLOOKUP(B218,'CPF Table'!$A$4:$G$8,5,TRUE)*CPF!D218)</f>
        <v>0</v>
      </c>
      <c r="G218" s="18">
        <f>VLOOKUP(B218,'CPF Table'!$A$13:$E$23,3,TRUE)*F218</f>
        <v>0</v>
      </c>
      <c r="H218" s="18">
        <f>VLOOKUP(B218,'CPF Table'!$A$13:$E$23,4,TRUE)*CPF!F218</f>
        <v>0</v>
      </c>
      <c r="I218" s="18">
        <f>VLOOKUP(B218,'CPF Table'!$A$13:$E$23,5,TRUE)*CPF!F218</f>
        <v>0</v>
      </c>
      <c r="J218" s="103">
        <f t="shared" si="6"/>
        <v>0</v>
      </c>
    </row>
    <row r="219" spans="3:10">
      <c r="C219" s="126">
        <v>0</v>
      </c>
      <c r="D219" s="127">
        <v>0</v>
      </c>
      <c r="E219" s="82">
        <f t="shared" si="7"/>
        <v>0</v>
      </c>
      <c r="F219" s="18">
        <f>IF(VLOOKUP(B219,'CPF Table'!$A$4:$G$8,5,TRUE)*CPF!C219&gt;=VLOOKUP(B219,'CPF Table'!$A$4:$G$8,6,TRUE),VLOOKUP(B219,'CPF Table'!$A$4:$G$8,5,TRUE)*C219+VLOOKUP(B219,'CPF Table'!$A$4:$G$8,5,TRUE)*CPF!D219,VLOOKUP(B219,'CPF Table'!$A$4:$G$8,5,TRUE)*CPF!C219+VLOOKUP(B219,'CPF Table'!$A$4:$G$8,5,TRUE)*CPF!D219)</f>
        <v>0</v>
      </c>
      <c r="G219" s="18">
        <f>VLOOKUP(B219,'CPF Table'!$A$13:$E$23,3,TRUE)*F219</f>
        <v>0</v>
      </c>
      <c r="H219" s="18">
        <f>VLOOKUP(B219,'CPF Table'!$A$13:$E$23,4,TRUE)*CPF!F219</f>
        <v>0</v>
      </c>
      <c r="I219" s="18">
        <f>VLOOKUP(B219,'CPF Table'!$A$13:$E$23,5,TRUE)*CPF!F219</f>
        <v>0</v>
      </c>
      <c r="J219" s="103">
        <f t="shared" si="6"/>
        <v>0</v>
      </c>
    </row>
    <row r="220" spans="3:10">
      <c r="C220" s="126">
        <v>0</v>
      </c>
      <c r="D220" s="127">
        <v>0</v>
      </c>
      <c r="E220" s="82">
        <f t="shared" si="7"/>
        <v>0</v>
      </c>
      <c r="F220" s="18">
        <f>IF(VLOOKUP(B220,'CPF Table'!$A$4:$G$8,5,TRUE)*CPF!C220&gt;=VLOOKUP(B220,'CPF Table'!$A$4:$G$8,6,TRUE),VLOOKUP(B220,'CPF Table'!$A$4:$G$8,5,TRUE)*C220+VLOOKUP(B220,'CPF Table'!$A$4:$G$8,5,TRUE)*CPF!D220,VLOOKUP(B220,'CPF Table'!$A$4:$G$8,5,TRUE)*CPF!C220+VLOOKUP(B220,'CPF Table'!$A$4:$G$8,5,TRUE)*CPF!D220)</f>
        <v>0</v>
      </c>
      <c r="G220" s="18">
        <f>VLOOKUP(B220,'CPF Table'!$A$13:$E$23,3,TRUE)*F220</f>
        <v>0</v>
      </c>
      <c r="H220" s="18">
        <f>VLOOKUP(B220,'CPF Table'!$A$13:$E$23,4,TRUE)*CPF!F220</f>
        <v>0</v>
      </c>
      <c r="I220" s="18">
        <f>VLOOKUP(B220,'CPF Table'!$A$13:$E$23,5,TRUE)*CPF!F220</f>
        <v>0</v>
      </c>
      <c r="J220" s="103">
        <f t="shared" si="6"/>
        <v>0</v>
      </c>
    </row>
    <row r="221" spans="3:10">
      <c r="C221" s="126">
        <v>0</v>
      </c>
      <c r="D221" s="127">
        <v>0</v>
      </c>
      <c r="E221" s="82">
        <f t="shared" si="7"/>
        <v>0</v>
      </c>
      <c r="F221" s="18">
        <f>IF(VLOOKUP(B221,'CPF Table'!$A$4:$G$8,5,TRUE)*CPF!C221&gt;=VLOOKUP(B221,'CPF Table'!$A$4:$G$8,6,TRUE),VLOOKUP(B221,'CPF Table'!$A$4:$G$8,5,TRUE)*C221+VLOOKUP(B221,'CPF Table'!$A$4:$G$8,5,TRUE)*CPF!D221,VLOOKUP(B221,'CPF Table'!$A$4:$G$8,5,TRUE)*CPF!C221+VLOOKUP(B221,'CPF Table'!$A$4:$G$8,5,TRUE)*CPF!D221)</f>
        <v>0</v>
      </c>
      <c r="G221" s="18">
        <f>VLOOKUP(B221,'CPF Table'!$A$13:$E$23,3,TRUE)*F221</f>
        <v>0</v>
      </c>
      <c r="H221" s="18">
        <f>VLOOKUP(B221,'CPF Table'!$A$13:$E$23,4,TRUE)*CPF!F221</f>
        <v>0</v>
      </c>
      <c r="I221" s="18">
        <f>VLOOKUP(B221,'CPF Table'!$A$13:$E$23,5,TRUE)*CPF!F221</f>
        <v>0</v>
      </c>
      <c r="J221" s="103">
        <f t="shared" si="6"/>
        <v>0</v>
      </c>
    </row>
    <row r="222" spans="3:10">
      <c r="C222" s="126">
        <v>0</v>
      </c>
      <c r="D222" s="127">
        <v>0</v>
      </c>
      <c r="E222" s="82">
        <f t="shared" si="7"/>
        <v>0</v>
      </c>
      <c r="F222" s="18">
        <f>IF(VLOOKUP(B222,'CPF Table'!$A$4:$G$8,5,TRUE)*CPF!C222&gt;=VLOOKUP(B222,'CPF Table'!$A$4:$G$8,6,TRUE),VLOOKUP(B222,'CPF Table'!$A$4:$G$8,5,TRUE)*C222+VLOOKUP(B222,'CPF Table'!$A$4:$G$8,5,TRUE)*CPF!D222,VLOOKUP(B222,'CPF Table'!$A$4:$G$8,5,TRUE)*CPF!C222+VLOOKUP(B222,'CPF Table'!$A$4:$G$8,5,TRUE)*CPF!D222)</f>
        <v>0</v>
      </c>
      <c r="G222" s="18">
        <f>VLOOKUP(B222,'CPF Table'!$A$13:$E$23,3,TRUE)*F222</f>
        <v>0</v>
      </c>
      <c r="H222" s="18">
        <f>VLOOKUP(B222,'CPF Table'!$A$13:$E$23,4,TRUE)*CPF!F222</f>
        <v>0</v>
      </c>
      <c r="I222" s="18">
        <f>VLOOKUP(B222,'CPF Table'!$A$13:$E$23,5,TRUE)*CPF!F222</f>
        <v>0</v>
      </c>
      <c r="J222" s="103">
        <f t="shared" si="6"/>
        <v>0</v>
      </c>
    </row>
    <row r="223" spans="3:10">
      <c r="C223" s="126">
        <v>0</v>
      </c>
      <c r="D223" s="127">
        <v>0</v>
      </c>
      <c r="E223" s="82">
        <f t="shared" si="7"/>
        <v>0</v>
      </c>
      <c r="F223" s="18">
        <f>IF(VLOOKUP(B223,'CPF Table'!$A$4:$G$8,5,TRUE)*CPF!C223&gt;=VLOOKUP(B223,'CPF Table'!$A$4:$G$8,6,TRUE),VLOOKUP(B223,'CPF Table'!$A$4:$G$8,5,TRUE)*C223+VLOOKUP(B223,'CPF Table'!$A$4:$G$8,5,TRUE)*CPF!D223,VLOOKUP(B223,'CPF Table'!$A$4:$G$8,5,TRUE)*CPF!C223+VLOOKUP(B223,'CPF Table'!$A$4:$G$8,5,TRUE)*CPF!D223)</f>
        <v>0</v>
      </c>
      <c r="G223" s="18">
        <f>VLOOKUP(B223,'CPF Table'!$A$13:$E$23,3,TRUE)*F223</f>
        <v>0</v>
      </c>
      <c r="H223" s="18">
        <f>VLOOKUP(B223,'CPF Table'!$A$13:$E$23,4,TRUE)*CPF!F223</f>
        <v>0</v>
      </c>
      <c r="I223" s="18">
        <f>VLOOKUP(B223,'CPF Table'!$A$13:$E$23,5,TRUE)*CPF!F223</f>
        <v>0</v>
      </c>
      <c r="J223" s="103">
        <f t="shared" si="6"/>
        <v>0</v>
      </c>
    </row>
    <row r="224" spans="3:10">
      <c r="C224" s="126">
        <v>0</v>
      </c>
      <c r="D224" s="127">
        <v>0</v>
      </c>
      <c r="E224" s="82">
        <f t="shared" si="7"/>
        <v>0</v>
      </c>
      <c r="F224" s="18">
        <f>IF(VLOOKUP(B224,'CPF Table'!$A$4:$G$8,5,TRUE)*CPF!C224&gt;=VLOOKUP(B224,'CPF Table'!$A$4:$G$8,6,TRUE),VLOOKUP(B224,'CPF Table'!$A$4:$G$8,5,TRUE)*C224+VLOOKUP(B224,'CPF Table'!$A$4:$G$8,5,TRUE)*CPF!D224,VLOOKUP(B224,'CPF Table'!$A$4:$G$8,5,TRUE)*CPF!C224+VLOOKUP(B224,'CPF Table'!$A$4:$G$8,5,TRUE)*CPF!D224)</f>
        <v>0</v>
      </c>
      <c r="G224" s="18">
        <f>VLOOKUP(B224,'CPF Table'!$A$13:$E$23,3,TRUE)*F224</f>
        <v>0</v>
      </c>
      <c r="H224" s="18">
        <f>VLOOKUP(B224,'CPF Table'!$A$13:$E$23,4,TRUE)*CPF!F224</f>
        <v>0</v>
      </c>
      <c r="I224" s="18">
        <f>VLOOKUP(B224,'CPF Table'!$A$13:$E$23,5,TRUE)*CPF!F224</f>
        <v>0</v>
      </c>
      <c r="J224" s="103">
        <f t="shared" si="6"/>
        <v>0</v>
      </c>
    </row>
    <row r="225" spans="3:10">
      <c r="C225" s="126">
        <v>0</v>
      </c>
      <c r="D225" s="127">
        <v>0</v>
      </c>
      <c r="E225" s="82">
        <f t="shared" si="7"/>
        <v>0</v>
      </c>
      <c r="F225" s="18">
        <f>IF(VLOOKUP(B225,'CPF Table'!$A$4:$G$8,5,TRUE)*CPF!C225&gt;=VLOOKUP(B225,'CPF Table'!$A$4:$G$8,6,TRUE),VLOOKUP(B225,'CPF Table'!$A$4:$G$8,5,TRUE)*C225+VLOOKUP(B225,'CPF Table'!$A$4:$G$8,5,TRUE)*CPF!D225,VLOOKUP(B225,'CPF Table'!$A$4:$G$8,5,TRUE)*CPF!C225+VLOOKUP(B225,'CPF Table'!$A$4:$G$8,5,TRUE)*CPF!D225)</f>
        <v>0</v>
      </c>
      <c r="G225" s="18">
        <f>VLOOKUP(B225,'CPF Table'!$A$13:$E$23,3,TRUE)*F225</f>
        <v>0</v>
      </c>
      <c r="H225" s="18">
        <f>VLOOKUP(B225,'CPF Table'!$A$13:$E$23,4,TRUE)*CPF!F225</f>
        <v>0</v>
      </c>
      <c r="I225" s="18">
        <f>VLOOKUP(B225,'CPF Table'!$A$13:$E$23,5,TRUE)*CPF!F225</f>
        <v>0</v>
      </c>
      <c r="J225" s="103">
        <f t="shared" si="6"/>
        <v>0</v>
      </c>
    </row>
    <row r="226" spans="3:10">
      <c r="C226" s="126">
        <v>0</v>
      </c>
      <c r="D226" s="127">
        <v>0</v>
      </c>
      <c r="E226" s="82">
        <f t="shared" si="7"/>
        <v>0</v>
      </c>
      <c r="F226" s="18">
        <f>IF(VLOOKUP(B226,'CPF Table'!$A$4:$G$8,5,TRUE)*CPF!C226&gt;=VLOOKUP(B226,'CPF Table'!$A$4:$G$8,6,TRUE),VLOOKUP(B226,'CPF Table'!$A$4:$G$8,5,TRUE)*C226+VLOOKUP(B226,'CPF Table'!$A$4:$G$8,5,TRUE)*CPF!D226,VLOOKUP(B226,'CPF Table'!$A$4:$G$8,5,TRUE)*CPF!C226+VLOOKUP(B226,'CPF Table'!$A$4:$G$8,5,TRUE)*CPF!D226)</f>
        <v>0</v>
      </c>
      <c r="G226" s="18">
        <f>VLOOKUP(B226,'CPF Table'!$A$13:$E$23,3,TRUE)*F226</f>
        <v>0</v>
      </c>
      <c r="H226" s="18">
        <f>VLOOKUP(B226,'CPF Table'!$A$13:$E$23,4,TRUE)*CPF!F226</f>
        <v>0</v>
      </c>
      <c r="I226" s="18">
        <f>VLOOKUP(B226,'CPF Table'!$A$13:$E$23,5,TRUE)*CPF!F226</f>
        <v>0</v>
      </c>
      <c r="J226" s="103">
        <f t="shared" si="6"/>
        <v>0</v>
      </c>
    </row>
    <row r="227" spans="3:10">
      <c r="C227" s="126">
        <v>0</v>
      </c>
      <c r="D227" s="127">
        <v>0</v>
      </c>
      <c r="E227" s="82">
        <f t="shared" si="7"/>
        <v>0</v>
      </c>
      <c r="F227" s="18">
        <f>IF(VLOOKUP(B227,'CPF Table'!$A$4:$G$8,5,TRUE)*CPF!C227&gt;=VLOOKUP(B227,'CPF Table'!$A$4:$G$8,6,TRUE),VLOOKUP(B227,'CPF Table'!$A$4:$G$8,5,TRUE)*C227+VLOOKUP(B227,'CPF Table'!$A$4:$G$8,5,TRUE)*CPF!D227,VLOOKUP(B227,'CPF Table'!$A$4:$G$8,5,TRUE)*CPF!C227+VLOOKUP(B227,'CPF Table'!$A$4:$G$8,5,TRUE)*CPF!D227)</f>
        <v>0</v>
      </c>
      <c r="G227" s="18">
        <f>VLOOKUP(B227,'CPF Table'!$A$13:$E$23,3,TRUE)*F227</f>
        <v>0</v>
      </c>
      <c r="H227" s="18">
        <f>VLOOKUP(B227,'CPF Table'!$A$13:$E$23,4,TRUE)*CPF!F227</f>
        <v>0</v>
      </c>
      <c r="I227" s="18">
        <f>VLOOKUP(B227,'CPF Table'!$A$13:$E$23,5,TRUE)*CPF!F227</f>
        <v>0</v>
      </c>
      <c r="J227" s="103">
        <f t="shared" si="6"/>
        <v>0</v>
      </c>
    </row>
    <row r="228" spans="3:10">
      <c r="C228" s="126">
        <v>0</v>
      </c>
      <c r="D228" s="127">
        <v>0</v>
      </c>
      <c r="E228" s="82">
        <f t="shared" si="7"/>
        <v>0</v>
      </c>
      <c r="F228" s="18">
        <f>IF(VLOOKUP(B228,'CPF Table'!$A$4:$G$8,5,TRUE)*CPF!C228&gt;=VLOOKUP(B228,'CPF Table'!$A$4:$G$8,6,TRUE),VLOOKUP(B228,'CPF Table'!$A$4:$G$8,5,TRUE)*C228+VLOOKUP(B228,'CPF Table'!$A$4:$G$8,5,TRUE)*CPF!D228,VLOOKUP(B228,'CPF Table'!$A$4:$G$8,5,TRUE)*CPF!C228+VLOOKUP(B228,'CPF Table'!$A$4:$G$8,5,TRUE)*CPF!D228)</f>
        <v>0</v>
      </c>
      <c r="G228" s="18">
        <f>VLOOKUP(B228,'CPF Table'!$A$13:$E$23,3,TRUE)*F228</f>
        <v>0</v>
      </c>
      <c r="H228" s="18">
        <f>VLOOKUP(B228,'CPF Table'!$A$13:$E$23,4,TRUE)*CPF!F228</f>
        <v>0</v>
      </c>
      <c r="I228" s="18">
        <f>VLOOKUP(B228,'CPF Table'!$A$13:$E$23,5,TRUE)*CPF!F228</f>
        <v>0</v>
      </c>
      <c r="J228" s="103">
        <f t="shared" si="6"/>
        <v>0</v>
      </c>
    </row>
    <row r="229" spans="3:10">
      <c r="C229" s="126">
        <v>0</v>
      </c>
      <c r="D229" s="127">
        <v>0</v>
      </c>
      <c r="E229" s="82">
        <f t="shared" si="7"/>
        <v>0</v>
      </c>
      <c r="F229" s="18">
        <f>IF(VLOOKUP(B229,'CPF Table'!$A$4:$G$8,5,TRUE)*CPF!C229&gt;=VLOOKUP(B229,'CPF Table'!$A$4:$G$8,6,TRUE),VLOOKUP(B229,'CPF Table'!$A$4:$G$8,5,TRUE)*C229+VLOOKUP(B229,'CPF Table'!$A$4:$G$8,5,TRUE)*CPF!D229,VLOOKUP(B229,'CPF Table'!$A$4:$G$8,5,TRUE)*CPF!C229+VLOOKUP(B229,'CPF Table'!$A$4:$G$8,5,TRUE)*CPF!D229)</f>
        <v>0</v>
      </c>
      <c r="G229" s="18">
        <f>VLOOKUP(B229,'CPF Table'!$A$13:$E$23,3,TRUE)*F229</f>
        <v>0</v>
      </c>
      <c r="H229" s="18">
        <f>VLOOKUP(B229,'CPF Table'!$A$13:$E$23,4,TRUE)*CPF!F229</f>
        <v>0</v>
      </c>
      <c r="I229" s="18">
        <f>VLOOKUP(B229,'CPF Table'!$A$13:$E$23,5,TRUE)*CPF!F229</f>
        <v>0</v>
      </c>
      <c r="J229" s="103">
        <f t="shared" si="6"/>
        <v>0</v>
      </c>
    </row>
    <row r="230" spans="3:10">
      <c r="C230" s="126">
        <v>0</v>
      </c>
      <c r="D230" s="127">
        <v>0</v>
      </c>
      <c r="E230" s="82">
        <f t="shared" si="7"/>
        <v>0</v>
      </c>
      <c r="F230" s="18">
        <f>IF(VLOOKUP(B230,'CPF Table'!$A$4:$G$8,5,TRUE)*CPF!C230&gt;=VLOOKUP(B230,'CPF Table'!$A$4:$G$8,6,TRUE),VLOOKUP(B230,'CPF Table'!$A$4:$G$8,5,TRUE)*C230+VLOOKUP(B230,'CPF Table'!$A$4:$G$8,5,TRUE)*CPF!D230,VLOOKUP(B230,'CPF Table'!$A$4:$G$8,5,TRUE)*CPF!C230+VLOOKUP(B230,'CPF Table'!$A$4:$G$8,5,TRUE)*CPF!D230)</f>
        <v>0</v>
      </c>
      <c r="G230" s="18">
        <f>VLOOKUP(B230,'CPF Table'!$A$13:$E$23,3,TRUE)*F230</f>
        <v>0</v>
      </c>
      <c r="H230" s="18">
        <f>VLOOKUP(B230,'CPF Table'!$A$13:$E$23,4,TRUE)*CPF!F230</f>
        <v>0</v>
      </c>
      <c r="I230" s="18">
        <f>VLOOKUP(B230,'CPF Table'!$A$13:$E$23,5,TRUE)*CPF!F230</f>
        <v>0</v>
      </c>
      <c r="J230" s="103">
        <f t="shared" si="6"/>
        <v>0</v>
      </c>
    </row>
    <row r="231" spans="3:10">
      <c r="C231" s="126">
        <v>0</v>
      </c>
      <c r="D231" s="127">
        <v>0</v>
      </c>
      <c r="E231" s="82">
        <f t="shared" si="7"/>
        <v>0</v>
      </c>
      <c r="F231" s="18">
        <f>IF(VLOOKUP(B231,'CPF Table'!$A$4:$G$8,5,TRUE)*CPF!C231&gt;=VLOOKUP(B231,'CPF Table'!$A$4:$G$8,6,TRUE),VLOOKUP(B231,'CPF Table'!$A$4:$G$8,5,TRUE)*C231+VLOOKUP(B231,'CPF Table'!$A$4:$G$8,5,TRUE)*CPF!D231,VLOOKUP(B231,'CPF Table'!$A$4:$G$8,5,TRUE)*CPF!C231+VLOOKUP(B231,'CPF Table'!$A$4:$G$8,5,TRUE)*CPF!D231)</f>
        <v>0</v>
      </c>
      <c r="G231" s="18">
        <f>VLOOKUP(B231,'CPF Table'!$A$13:$E$23,3,TRUE)*F231</f>
        <v>0</v>
      </c>
      <c r="H231" s="18">
        <f>VLOOKUP(B231,'CPF Table'!$A$13:$E$23,4,TRUE)*CPF!F231</f>
        <v>0</v>
      </c>
      <c r="I231" s="18">
        <f>VLOOKUP(B231,'CPF Table'!$A$13:$E$23,5,TRUE)*CPF!F231</f>
        <v>0</v>
      </c>
      <c r="J231" s="103">
        <f t="shared" si="6"/>
        <v>0</v>
      </c>
    </row>
    <row r="232" spans="3:10">
      <c r="C232" s="126">
        <v>0</v>
      </c>
      <c r="D232" s="127">
        <v>0</v>
      </c>
      <c r="E232" s="82">
        <f t="shared" si="7"/>
        <v>0</v>
      </c>
      <c r="F232" s="18">
        <f>IF(VLOOKUP(B232,'CPF Table'!$A$4:$G$8,5,TRUE)*CPF!C232&gt;=VLOOKUP(B232,'CPF Table'!$A$4:$G$8,6,TRUE),VLOOKUP(B232,'CPF Table'!$A$4:$G$8,5,TRUE)*C232+VLOOKUP(B232,'CPF Table'!$A$4:$G$8,5,TRUE)*CPF!D232,VLOOKUP(B232,'CPF Table'!$A$4:$G$8,5,TRUE)*CPF!C232+VLOOKUP(B232,'CPF Table'!$A$4:$G$8,5,TRUE)*CPF!D232)</f>
        <v>0</v>
      </c>
      <c r="G232" s="18">
        <f>VLOOKUP(B232,'CPF Table'!$A$13:$E$23,3,TRUE)*F232</f>
        <v>0</v>
      </c>
      <c r="H232" s="18">
        <f>VLOOKUP(B232,'CPF Table'!$A$13:$E$23,4,TRUE)*CPF!F232</f>
        <v>0</v>
      </c>
      <c r="I232" s="18">
        <f>VLOOKUP(B232,'CPF Table'!$A$13:$E$23,5,TRUE)*CPF!F232</f>
        <v>0</v>
      </c>
      <c r="J232" s="103">
        <f t="shared" si="6"/>
        <v>0</v>
      </c>
    </row>
    <row r="233" spans="3:10">
      <c r="C233" s="126">
        <v>0</v>
      </c>
      <c r="D233" s="127">
        <v>0</v>
      </c>
      <c r="E233" s="82">
        <f t="shared" si="7"/>
        <v>0</v>
      </c>
      <c r="F233" s="18">
        <f>IF(VLOOKUP(B233,'CPF Table'!$A$4:$G$8,5,TRUE)*CPF!C233&gt;=VLOOKUP(B233,'CPF Table'!$A$4:$G$8,6,TRUE),VLOOKUP(B233,'CPF Table'!$A$4:$G$8,5,TRUE)*C233+VLOOKUP(B233,'CPF Table'!$A$4:$G$8,5,TRUE)*CPF!D233,VLOOKUP(B233,'CPF Table'!$A$4:$G$8,5,TRUE)*CPF!C233+VLOOKUP(B233,'CPF Table'!$A$4:$G$8,5,TRUE)*CPF!D233)</f>
        <v>0</v>
      </c>
      <c r="G233" s="18">
        <f>VLOOKUP(B233,'CPF Table'!$A$13:$E$23,3,TRUE)*F233</f>
        <v>0</v>
      </c>
      <c r="H233" s="18">
        <f>VLOOKUP(B233,'CPF Table'!$A$13:$E$23,4,TRUE)*CPF!F233</f>
        <v>0</v>
      </c>
      <c r="I233" s="18">
        <f>VLOOKUP(B233,'CPF Table'!$A$13:$E$23,5,TRUE)*CPF!F233</f>
        <v>0</v>
      </c>
      <c r="J233" s="103">
        <f t="shared" si="6"/>
        <v>0</v>
      </c>
    </row>
    <row r="234" spans="3:10">
      <c r="C234" s="126">
        <v>0</v>
      </c>
      <c r="D234" s="127">
        <v>0</v>
      </c>
      <c r="E234" s="82">
        <f t="shared" si="7"/>
        <v>0</v>
      </c>
      <c r="F234" s="18">
        <f>IF(VLOOKUP(B234,'CPF Table'!$A$4:$G$8,5,TRUE)*CPF!C234&gt;=VLOOKUP(B234,'CPF Table'!$A$4:$G$8,6,TRUE),VLOOKUP(B234,'CPF Table'!$A$4:$G$8,5,TRUE)*C234+VLOOKUP(B234,'CPF Table'!$A$4:$G$8,5,TRUE)*CPF!D234,VLOOKUP(B234,'CPF Table'!$A$4:$G$8,5,TRUE)*CPF!C234+VLOOKUP(B234,'CPF Table'!$A$4:$G$8,5,TRUE)*CPF!D234)</f>
        <v>0</v>
      </c>
      <c r="G234" s="18">
        <f>VLOOKUP(B234,'CPF Table'!$A$13:$E$23,3,TRUE)*F234</f>
        <v>0</v>
      </c>
      <c r="H234" s="18">
        <f>VLOOKUP(B234,'CPF Table'!$A$13:$E$23,4,TRUE)*CPF!F234</f>
        <v>0</v>
      </c>
      <c r="I234" s="18">
        <f>VLOOKUP(B234,'CPF Table'!$A$13:$E$23,5,TRUE)*CPF!F234</f>
        <v>0</v>
      </c>
      <c r="J234" s="103">
        <f t="shared" si="6"/>
        <v>0</v>
      </c>
    </row>
    <row r="235" spans="3:10">
      <c r="C235" s="126">
        <v>0</v>
      </c>
      <c r="D235" s="127">
        <v>0</v>
      </c>
      <c r="E235" s="82">
        <f t="shared" si="7"/>
        <v>0</v>
      </c>
      <c r="F235" s="18">
        <f>IF(VLOOKUP(B235,'CPF Table'!$A$4:$G$8,5,TRUE)*CPF!C235&gt;=VLOOKUP(B235,'CPF Table'!$A$4:$G$8,6,TRUE),VLOOKUP(B235,'CPF Table'!$A$4:$G$8,5,TRUE)*C235+VLOOKUP(B235,'CPF Table'!$A$4:$G$8,5,TRUE)*CPF!D235,VLOOKUP(B235,'CPF Table'!$A$4:$G$8,5,TRUE)*CPF!C235+VLOOKUP(B235,'CPF Table'!$A$4:$G$8,5,TRUE)*CPF!D235)</f>
        <v>0</v>
      </c>
      <c r="G235" s="18">
        <f>VLOOKUP(B235,'CPF Table'!$A$13:$E$23,3,TRUE)*F235</f>
        <v>0</v>
      </c>
      <c r="H235" s="18">
        <f>VLOOKUP(B235,'CPF Table'!$A$13:$E$23,4,TRUE)*CPF!F235</f>
        <v>0</v>
      </c>
      <c r="I235" s="18">
        <f>VLOOKUP(B235,'CPF Table'!$A$13:$E$23,5,TRUE)*CPF!F235</f>
        <v>0</v>
      </c>
      <c r="J235" s="103">
        <f t="shared" si="6"/>
        <v>0</v>
      </c>
    </row>
    <row r="236" spans="3:10">
      <c r="C236" s="126">
        <v>0</v>
      </c>
      <c r="D236" s="127">
        <v>0</v>
      </c>
      <c r="E236" s="82">
        <f t="shared" si="7"/>
        <v>0</v>
      </c>
      <c r="F236" s="18">
        <f>IF(VLOOKUP(B236,'CPF Table'!$A$4:$G$8,5,TRUE)*CPF!C236&gt;=VLOOKUP(B236,'CPF Table'!$A$4:$G$8,6,TRUE),VLOOKUP(B236,'CPF Table'!$A$4:$G$8,5,TRUE)*C236+VLOOKUP(B236,'CPF Table'!$A$4:$G$8,5,TRUE)*CPF!D236,VLOOKUP(B236,'CPF Table'!$A$4:$G$8,5,TRUE)*CPF!C236+VLOOKUP(B236,'CPF Table'!$A$4:$G$8,5,TRUE)*CPF!D236)</f>
        <v>0</v>
      </c>
      <c r="G236" s="18">
        <f>VLOOKUP(B236,'CPF Table'!$A$13:$E$23,3,TRUE)*F236</f>
        <v>0</v>
      </c>
      <c r="H236" s="18">
        <f>VLOOKUP(B236,'CPF Table'!$A$13:$E$23,4,TRUE)*CPF!F236</f>
        <v>0</v>
      </c>
      <c r="I236" s="18">
        <f>VLOOKUP(B236,'CPF Table'!$A$13:$E$23,5,TRUE)*CPF!F236</f>
        <v>0</v>
      </c>
      <c r="J236" s="103">
        <f t="shared" si="6"/>
        <v>0</v>
      </c>
    </row>
    <row r="237" spans="3:10">
      <c r="C237" s="126">
        <v>0</v>
      </c>
      <c r="D237" s="127">
        <v>0</v>
      </c>
      <c r="E237" s="82">
        <f t="shared" si="7"/>
        <v>0</v>
      </c>
      <c r="F237" s="18">
        <f>IF(VLOOKUP(B237,'CPF Table'!$A$4:$G$8,5,TRUE)*CPF!C237&gt;=VLOOKUP(B237,'CPF Table'!$A$4:$G$8,6,TRUE),VLOOKUP(B237,'CPF Table'!$A$4:$G$8,5,TRUE)*C237+VLOOKUP(B237,'CPF Table'!$A$4:$G$8,5,TRUE)*CPF!D237,VLOOKUP(B237,'CPF Table'!$A$4:$G$8,5,TRUE)*CPF!C237+VLOOKUP(B237,'CPF Table'!$A$4:$G$8,5,TRUE)*CPF!D237)</f>
        <v>0</v>
      </c>
      <c r="G237" s="18">
        <f>VLOOKUP(B237,'CPF Table'!$A$13:$E$23,3,TRUE)*F237</f>
        <v>0</v>
      </c>
      <c r="H237" s="18">
        <f>VLOOKUP(B237,'CPF Table'!$A$13:$E$23,4,TRUE)*CPF!F237</f>
        <v>0</v>
      </c>
      <c r="I237" s="18">
        <f>VLOOKUP(B237,'CPF Table'!$A$13:$E$23,5,TRUE)*CPF!F237</f>
        <v>0</v>
      </c>
      <c r="J237" s="103">
        <f t="shared" si="6"/>
        <v>0</v>
      </c>
    </row>
    <row r="238" spans="3:10">
      <c r="C238" s="126">
        <v>0</v>
      </c>
      <c r="D238" s="127">
        <v>0</v>
      </c>
      <c r="E238" s="82">
        <f t="shared" si="7"/>
        <v>0</v>
      </c>
      <c r="F238" s="18">
        <f>IF(VLOOKUP(B238,'CPF Table'!$A$4:$G$8,5,TRUE)*CPF!C238&gt;=VLOOKUP(B238,'CPF Table'!$A$4:$G$8,6,TRUE),VLOOKUP(B238,'CPF Table'!$A$4:$G$8,5,TRUE)*C238+VLOOKUP(B238,'CPF Table'!$A$4:$G$8,5,TRUE)*CPF!D238,VLOOKUP(B238,'CPF Table'!$A$4:$G$8,5,TRUE)*CPF!C238+VLOOKUP(B238,'CPF Table'!$A$4:$G$8,5,TRUE)*CPF!D238)</f>
        <v>0</v>
      </c>
      <c r="G238" s="18">
        <f>VLOOKUP(B238,'CPF Table'!$A$13:$E$23,3,TRUE)*F238</f>
        <v>0</v>
      </c>
      <c r="H238" s="18">
        <f>VLOOKUP(B238,'CPF Table'!$A$13:$E$23,4,TRUE)*CPF!F238</f>
        <v>0</v>
      </c>
      <c r="I238" s="18">
        <f>VLOOKUP(B238,'CPF Table'!$A$13:$E$23,5,TRUE)*CPF!F238</f>
        <v>0</v>
      </c>
      <c r="J238" s="103">
        <f t="shared" si="6"/>
        <v>0</v>
      </c>
    </row>
    <row r="239" spans="3:10">
      <c r="C239" s="126">
        <v>0</v>
      </c>
      <c r="D239" s="127">
        <v>0</v>
      </c>
      <c r="E239" s="82">
        <f t="shared" si="7"/>
        <v>0</v>
      </c>
      <c r="F239" s="18">
        <f>IF(VLOOKUP(B239,'CPF Table'!$A$4:$G$8,5,TRUE)*CPF!C239&gt;=VLOOKUP(B239,'CPF Table'!$A$4:$G$8,6,TRUE),VLOOKUP(B239,'CPF Table'!$A$4:$G$8,5,TRUE)*C239+VLOOKUP(B239,'CPF Table'!$A$4:$G$8,5,TRUE)*CPF!D239,VLOOKUP(B239,'CPF Table'!$A$4:$G$8,5,TRUE)*CPF!C239+VLOOKUP(B239,'CPF Table'!$A$4:$G$8,5,TRUE)*CPF!D239)</f>
        <v>0</v>
      </c>
      <c r="G239" s="18">
        <f>VLOOKUP(B239,'CPF Table'!$A$13:$E$23,3,TRUE)*F239</f>
        <v>0</v>
      </c>
      <c r="H239" s="18">
        <f>VLOOKUP(B239,'CPF Table'!$A$13:$E$23,4,TRUE)*CPF!F239</f>
        <v>0</v>
      </c>
      <c r="I239" s="18">
        <f>VLOOKUP(B239,'CPF Table'!$A$13:$E$23,5,TRUE)*CPF!F239</f>
        <v>0</v>
      </c>
      <c r="J239" s="103">
        <f t="shared" si="6"/>
        <v>0</v>
      </c>
    </row>
    <row r="240" spans="3:10">
      <c r="C240" s="126">
        <v>0</v>
      </c>
      <c r="D240" s="127">
        <v>0</v>
      </c>
      <c r="E240" s="82">
        <f t="shared" si="7"/>
        <v>0</v>
      </c>
      <c r="F240" s="18">
        <f>IF(VLOOKUP(B240,'CPF Table'!$A$4:$G$8,5,TRUE)*CPF!C240&gt;=VLOOKUP(B240,'CPF Table'!$A$4:$G$8,6,TRUE),VLOOKUP(B240,'CPF Table'!$A$4:$G$8,5,TRUE)*C240+VLOOKUP(B240,'CPF Table'!$A$4:$G$8,5,TRUE)*CPF!D240,VLOOKUP(B240,'CPF Table'!$A$4:$G$8,5,TRUE)*CPF!C240+VLOOKUP(B240,'CPF Table'!$A$4:$G$8,5,TRUE)*CPF!D240)</f>
        <v>0</v>
      </c>
      <c r="G240" s="18">
        <f>VLOOKUP(B240,'CPF Table'!$A$13:$E$23,3,TRUE)*F240</f>
        <v>0</v>
      </c>
      <c r="H240" s="18">
        <f>VLOOKUP(B240,'CPF Table'!$A$13:$E$23,4,TRUE)*CPF!F240</f>
        <v>0</v>
      </c>
      <c r="I240" s="18">
        <f>VLOOKUP(B240,'CPF Table'!$A$13:$E$23,5,TRUE)*CPF!F240</f>
        <v>0</v>
      </c>
      <c r="J240" s="103">
        <f t="shared" si="6"/>
        <v>0</v>
      </c>
    </row>
    <row r="241" spans="3:10">
      <c r="C241" s="126">
        <v>0</v>
      </c>
      <c r="D241" s="127">
        <v>0</v>
      </c>
      <c r="E241" s="82">
        <f t="shared" si="7"/>
        <v>0</v>
      </c>
      <c r="F241" s="18">
        <f>IF(VLOOKUP(B241,'CPF Table'!$A$4:$G$8,5,TRUE)*CPF!C241&gt;=VLOOKUP(B241,'CPF Table'!$A$4:$G$8,6,TRUE),VLOOKUP(B241,'CPF Table'!$A$4:$G$8,5,TRUE)*C241+VLOOKUP(B241,'CPF Table'!$A$4:$G$8,5,TRUE)*CPF!D241,VLOOKUP(B241,'CPF Table'!$A$4:$G$8,5,TRUE)*CPF!C241+VLOOKUP(B241,'CPF Table'!$A$4:$G$8,5,TRUE)*CPF!D241)</f>
        <v>0</v>
      </c>
      <c r="G241" s="18">
        <f>VLOOKUP(B241,'CPF Table'!$A$13:$E$23,3,TRUE)*F241</f>
        <v>0</v>
      </c>
      <c r="H241" s="18">
        <f>VLOOKUP(B241,'CPF Table'!$A$13:$E$23,4,TRUE)*CPF!F241</f>
        <v>0</v>
      </c>
      <c r="I241" s="18">
        <f>VLOOKUP(B241,'CPF Table'!$A$13:$E$23,5,TRUE)*CPF!F241</f>
        <v>0</v>
      </c>
      <c r="J241" s="103">
        <f t="shared" si="6"/>
        <v>0</v>
      </c>
    </row>
    <row r="242" spans="3:10">
      <c r="C242" s="126">
        <v>0</v>
      </c>
      <c r="D242" s="127">
        <v>0</v>
      </c>
      <c r="E242" s="82">
        <f t="shared" si="7"/>
        <v>0</v>
      </c>
      <c r="F242" s="18">
        <f>IF(VLOOKUP(B242,'CPF Table'!$A$4:$G$8,5,TRUE)*CPF!C242&gt;=VLOOKUP(B242,'CPF Table'!$A$4:$G$8,6,TRUE),VLOOKUP(B242,'CPF Table'!$A$4:$G$8,5,TRUE)*C242+VLOOKUP(B242,'CPF Table'!$A$4:$G$8,5,TRUE)*CPF!D242,VLOOKUP(B242,'CPF Table'!$A$4:$G$8,5,TRUE)*CPF!C242+VLOOKUP(B242,'CPF Table'!$A$4:$G$8,5,TRUE)*CPF!D242)</f>
        <v>0</v>
      </c>
      <c r="G242" s="18">
        <f>VLOOKUP(B242,'CPF Table'!$A$13:$E$23,3,TRUE)*F242</f>
        <v>0</v>
      </c>
      <c r="H242" s="18">
        <f>VLOOKUP(B242,'CPF Table'!$A$13:$E$23,4,TRUE)*CPF!F242</f>
        <v>0</v>
      </c>
      <c r="I242" s="18">
        <f>VLOOKUP(B242,'CPF Table'!$A$13:$E$23,5,TRUE)*CPF!F242</f>
        <v>0</v>
      </c>
      <c r="J242" s="103">
        <f t="shared" si="6"/>
        <v>0</v>
      </c>
    </row>
    <row r="243" spans="3:10">
      <c r="C243" s="126">
        <v>0</v>
      </c>
      <c r="D243" s="127">
        <v>0</v>
      </c>
      <c r="E243" s="82">
        <f t="shared" si="7"/>
        <v>0</v>
      </c>
      <c r="F243" s="18">
        <f>IF(VLOOKUP(B243,'CPF Table'!$A$4:$G$8,5,TRUE)*CPF!C243&gt;=VLOOKUP(B243,'CPF Table'!$A$4:$G$8,6,TRUE),VLOOKUP(B243,'CPF Table'!$A$4:$G$8,5,TRUE)*C243+VLOOKUP(B243,'CPF Table'!$A$4:$G$8,5,TRUE)*CPF!D243,VLOOKUP(B243,'CPF Table'!$A$4:$G$8,5,TRUE)*CPF!C243+VLOOKUP(B243,'CPF Table'!$A$4:$G$8,5,TRUE)*CPF!D243)</f>
        <v>0</v>
      </c>
      <c r="G243" s="18">
        <f>VLOOKUP(B243,'CPF Table'!$A$13:$E$23,3,TRUE)*F243</f>
        <v>0</v>
      </c>
      <c r="H243" s="18">
        <f>VLOOKUP(B243,'CPF Table'!$A$13:$E$23,4,TRUE)*CPF!F243</f>
        <v>0</v>
      </c>
      <c r="I243" s="18">
        <f>VLOOKUP(B243,'CPF Table'!$A$13:$E$23,5,TRUE)*CPF!F243</f>
        <v>0</v>
      </c>
      <c r="J243" s="103">
        <f t="shared" si="6"/>
        <v>0</v>
      </c>
    </row>
    <row r="244" spans="3:10">
      <c r="C244" s="126">
        <v>0</v>
      </c>
      <c r="D244" s="127">
        <v>0</v>
      </c>
      <c r="E244" s="82">
        <f t="shared" si="7"/>
        <v>0</v>
      </c>
      <c r="F244" s="18">
        <f>IF(VLOOKUP(B244,'CPF Table'!$A$4:$G$8,5,TRUE)*CPF!C244&gt;=VLOOKUP(B244,'CPF Table'!$A$4:$G$8,6,TRUE),VLOOKUP(B244,'CPF Table'!$A$4:$G$8,5,TRUE)*C244+VLOOKUP(B244,'CPF Table'!$A$4:$G$8,5,TRUE)*CPF!D244,VLOOKUP(B244,'CPF Table'!$A$4:$G$8,5,TRUE)*CPF!C244+VLOOKUP(B244,'CPF Table'!$A$4:$G$8,5,TRUE)*CPF!D244)</f>
        <v>0</v>
      </c>
      <c r="G244" s="18">
        <f>VLOOKUP(B244,'CPF Table'!$A$13:$E$23,3,TRUE)*F244</f>
        <v>0</v>
      </c>
      <c r="H244" s="18">
        <f>VLOOKUP(B244,'CPF Table'!$A$13:$E$23,4,TRUE)*CPF!F244</f>
        <v>0</v>
      </c>
      <c r="I244" s="18">
        <f>VLOOKUP(B244,'CPF Table'!$A$13:$E$23,5,TRUE)*CPF!F244</f>
        <v>0</v>
      </c>
      <c r="J244" s="103">
        <f t="shared" si="6"/>
        <v>0</v>
      </c>
    </row>
    <row r="245" spans="3:10">
      <c r="C245" s="126">
        <v>0</v>
      </c>
      <c r="D245" s="127">
        <v>0</v>
      </c>
      <c r="E245" s="82">
        <f t="shared" si="7"/>
        <v>0</v>
      </c>
      <c r="F245" s="18">
        <f>IF(VLOOKUP(B245,'CPF Table'!$A$4:$G$8,5,TRUE)*CPF!C245&gt;=VLOOKUP(B245,'CPF Table'!$A$4:$G$8,6,TRUE),VLOOKUP(B245,'CPF Table'!$A$4:$G$8,5,TRUE)*C245+VLOOKUP(B245,'CPF Table'!$A$4:$G$8,5,TRUE)*CPF!D245,VLOOKUP(B245,'CPF Table'!$A$4:$G$8,5,TRUE)*CPF!C245+VLOOKUP(B245,'CPF Table'!$A$4:$G$8,5,TRUE)*CPF!D245)</f>
        <v>0</v>
      </c>
      <c r="G245" s="18">
        <f>VLOOKUP(B245,'CPF Table'!$A$13:$E$23,3,TRUE)*F245</f>
        <v>0</v>
      </c>
      <c r="H245" s="18">
        <f>VLOOKUP(B245,'CPF Table'!$A$13:$E$23,4,TRUE)*CPF!F245</f>
        <v>0</v>
      </c>
      <c r="I245" s="18">
        <f>VLOOKUP(B245,'CPF Table'!$A$13:$E$23,5,TRUE)*CPF!F245</f>
        <v>0</v>
      </c>
      <c r="J245" s="103">
        <f t="shared" si="6"/>
        <v>0</v>
      </c>
    </row>
    <row r="246" spans="3:10">
      <c r="C246" s="126">
        <v>0</v>
      </c>
      <c r="D246" s="127">
        <v>0</v>
      </c>
      <c r="E246" s="82">
        <f t="shared" si="7"/>
        <v>0</v>
      </c>
      <c r="F246" s="18">
        <f>IF(VLOOKUP(B246,'CPF Table'!$A$4:$G$8,5,TRUE)*CPF!C246&gt;=VLOOKUP(B246,'CPF Table'!$A$4:$G$8,6,TRUE),VLOOKUP(B246,'CPF Table'!$A$4:$G$8,5,TRUE)*C246+VLOOKUP(B246,'CPF Table'!$A$4:$G$8,5,TRUE)*CPF!D246,VLOOKUP(B246,'CPF Table'!$A$4:$G$8,5,TRUE)*CPF!C246+VLOOKUP(B246,'CPF Table'!$A$4:$G$8,5,TRUE)*CPF!D246)</f>
        <v>0</v>
      </c>
      <c r="G246" s="18">
        <f>VLOOKUP(B246,'CPF Table'!$A$13:$E$23,3,TRUE)*F246</f>
        <v>0</v>
      </c>
      <c r="H246" s="18">
        <f>VLOOKUP(B246,'CPF Table'!$A$13:$E$23,4,TRUE)*CPF!F246</f>
        <v>0</v>
      </c>
      <c r="I246" s="18">
        <f>VLOOKUP(B246,'CPF Table'!$A$13:$E$23,5,TRUE)*CPF!F246</f>
        <v>0</v>
      </c>
      <c r="J246" s="103">
        <f t="shared" si="6"/>
        <v>0</v>
      </c>
    </row>
    <row r="247" spans="3:10">
      <c r="C247" s="126">
        <v>0</v>
      </c>
      <c r="D247" s="127">
        <v>0</v>
      </c>
      <c r="E247" s="82">
        <f t="shared" si="7"/>
        <v>0</v>
      </c>
      <c r="F247" s="18">
        <f>IF(VLOOKUP(B247,'CPF Table'!$A$4:$G$8,5,TRUE)*CPF!C247&gt;=VLOOKUP(B247,'CPF Table'!$A$4:$G$8,6,TRUE),VLOOKUP(B247,'CPF Table'!$A$4:$G$8,5,TRUE)*C247+VLOOKUP(B247,'CPF Table'!$A$4:$G$8,5,TRUE)*CPF!D247,VLOOKUP(B247,'CPF Table'!$A$4:$G$8,5,TRUE)*CPF!C247+VLOOKUP(B247,'CPF Table'!$A$4:$G$8,5,TRUE)*CPF!D247)</f>
        <v>0</v>
      </c>
      <c r="G247" s="18">
        <f>VLOOKUP(B247,'CPF Table'!$A$13:$E$23,3,TRUE)*F247</f>
        <v>0</v>
      </c>
      <c r="H247" s="18">
        <f>VLOOKUP(B247,'CPF Table'!$A$13:$E$23,4,TRUE)*CPF!F247</f>
        <v>0</v>
      </c>
      <c r="I247" s="18">
        <f>VLOOKUP(B247,'CPF Table'!$A$13:$E$23,5,TRUE)*CPF!F247</f>
        <v>0</v>
      </c>
      <c r="J247" s="103">
        <f t="shared" si="6"/>
        <v>0</v>
      </c>
    </row>
    <row r="248" spans="3:10">
      <c r="C248" s="126">
        <v>0</v>
      </c>
      <c r="D248" s="127">
        <v>0</v>
      </c>
      <c r="E248" s="82">
        <f t="shared" si="7"/>
        <v>0</v>
      </c>
      <c r="F248" s="18">
        <f>IF(VLOOKUP(B248,'CPF Table'!$A$4:$G$8,5,TRUE)*CPF!C248&gt;=VLOOKUP(B248,'CPF Table'!$A$4:$G$8,6,TRUE),VLOOKUP(B248,'CPF Table'!$A$4:$G$8,5,TRUE)*C248+VLOOKUP(B248,'CPF Table'!$A$4:$G$8,5,TRUE)*CPF!D248,VLOOKUP(B248,'CPF Table'!$A$4:$G$8,5,TRUE)*CPF!C248+VLOOKUP(B248,'CPF Table'!$A$4:$G$8,5,TRUE)*CPF!D248)</f>
        <v>0</v>
      </c>
      <c r="G248" s="18">
        <f>VLOOKUP(B248,'CPF Table'!$A$13:$E$23,3,TRUE)*F248</f>
        <v>0</v>
      </c>
      <c r="H248" s="18">
        <f>VLOOKUP(B248,'CPF Table'!$A$13:$E$23,4,TRUE)*CPF!F248</f>
        <v>0</v>
      </c>
      <c r="I248" s="18">
        <f>VLOOKUP(B248,'CPF Table'!$A$13:$E$23,5,TRUE)*CPF!F248</f>
        <v>0</v>
      </c>
      <c r="J248" s="103">
        <f t="shared" si="6"/>
        <v>0</v>
      </c>
    </row>
    <row r="249" spans="3:10">
      <c r="C249" s="126">
        <v>0</v>
      </c>
      <c r="D249" s="127">
        <v>0</v>
      </c>
      <c r="E249" s="82">
        <f t="shared" si="7"/>
        <v>0</v>
      </c>
      <c r="F249" s="18">
        <f>IF(VLOOKUP(B249,'CPF Table'!$A$4:$G$8,5,TRUE)*CPF!C249&gt;=VLOOKUP(B249,'CPF Table'!$A$4:$G$8,6,TRUE),VLOOKUP(B249,'CPF Table'!$A$4:$G$8,5,TRUE)*C249+VLOOKUP(B249,'CPF Table'!$A$4:$G$8,5,TRUE)*CPF!D249,VLOOKUP(B249,'CPF Table'!$A$4:$G$8,5,TRUE)*CPF!C249+VLOOKUP(B249,'CPF Table'!$A$4:$G$8,5,TRUE)*CPF!D249)</f>
        <v>0</v>
      </c>
      <c r="G249" s="18">
        <f>VLOOKUP(B249,'CPF Table'!$A$13:$E$23,3,TRUE)*F249</f>
        <v>0</v>
      </c>
      <c r="H249" s="18">
        <f>VLOOKUP(B249,'CPF Table'!$A$13:$E$23,4,TRUE)*CPF!F249</f>
        <v>0</v>
      </c>
      <c r="I249" s="18">
        <f>VLOOKUP(B249,'CPF Table'!$A$13:$E$23,5,TRUE)*CPF!F249</f>
        <v>0</v>
      </c>
      <c r="J249" s="103">
        <f t="shared" si="6"/>
        <v>0</v>
      </c>
    </row>
    <row r="250" spans="3:10">
      <c r="C250" s="126">
        <v>0</v>
      </c>
      <c r="D250" s="127">
        <v>0</v>
      </c>
      <c r="E250" s="82">
        <f t="shared" si="7"/>
        <v>0</v>
      </c>
      <c r="F250" s="18">
        <f>IF(VLOOKUP(B250,'CPF Table'!$A$4:$G$8,5,TRUE)*CPF!C250&gt;=VLOOKUP(B250,'CPF Table'!$A$4:$G$8,6,TRUE),VLOOKUP(B250,'CPF Table'!$A$4:$G$8,5,TRUE)*C250+VLOOKUP(B250,'CPF Table'!$A$4:$G$8,5,TRUE)*CPF!D250,VLOOKUP(B250,'CPF Table'!$A$4:$G$8,5,TRUE)*CPF!C250+VLOOKUP(B250,'CPF Table'!$A$4:$G$8,5,TRUE)*CPF!D250)</f>
        <v>0</v>
      </c>
      <c r="G250" s="18">
        <f>VLOOKUP(B250,'CPF Table'!$A$13:$E$23,3,TRUE)*F250</f>
        <v>0</v>
      </c>
      <c r="H250" s="18">
        <f>VLOOKUP(B250,'CPF Table'!$A$13:$E$23,4,TRUE)*CPF!F250</f>
        <v>0</v>
      </c>
      <c r="I250" s="18">
        <f>VLOOKUP(B250,'CPF Table'!$A$13:$E$23,5,TRUE)*CPF!F250</f>
        <v>0</v>
      </c>
      <c r="J250" s="103">
        <f t="shared" si="6"/>
        <v>0</v>
      </c>
    </row>
    <row r="251" spans="3:10">
      <c r="C251" s="126">
        <v>0</v>
      </c>
      <c r="D251" s="127">
        <v>0</v>
      </c>
      <c r="E251" s="82">
        <f t="shared" si="7"/>
        <v>0</v>
      </c>
      <c r="F251" s="18">
        <f>IF(VLOOKUP(B251,'CPF Table'!$A$4:$G$8,5,TRUE)*CPF!C251&gt;=VLOOKUP(B251,'CPF Table'!$A$4:$G$8,6,TRUE),VLOOKUP(B251,'CPF Table'!$A$4:$G$8,5,TRUE)*C251+VLOOKUP(B251,'CPF Table'!$A$4:$G$8,5,TRUE)*CPF!D251,VLOOKUP(B251,'CPF Table'!$A$4:$G$8,5,TRUE)*CPF!C251+VLOOKUP(B251,'CPF Table'!$A$4:$G$8,5,TRUE)*CPF!D251)</f>
        <v>0</v>
      </c>
      <c r="G251" s="18">
        <f>VLOOKUP(B251,'CPF Table'!$A$13:$E$23,3,TRUE)*F251</f>
        <v>0</v>
      </c>
      <c r="H251" s="18">
        <f>VLOOKUP(B251,'CPF Table'!$A$13:$E$23,4,TRUE)*CPF!F251</f>
        <v>0</v>
      </c>
      <c r="I251" s="18">
        <f>VLOOKUP(B251,'CPF Table'!$A$13:$E$23,5,TRUE)*CPF!F251</f>
        <v>0</v>
      </c>
      <c r="J251" s="103">
        <f t="shared" si="6"/>
        <v>0</v>
      </c>
    </row>
    <row r="252" spans="3:10">
      <c r="C252" s="126">
        <v>0</v>
      </c>
      <c r="D252" s="127">
        <v>0</v>
      </c>
      <c r="E252" s="82">
        <f t="shared" si="7"/>
        <v>0</v>
      </c>
      <c r="F252" s="18">
        <f>IF(VLOOKUP(B252,'CPF Table'!$A$4:$G$8,5,TRUE)*CPF!C252&gt;=VLOOKUP(B252,'CPF Table'!$A$4:$G$8,6,TRUE),VLOOKUP(B252,'CPF Table'!$A$4:$G$8,5,TRUE)*C252+VLOOKUP(B252,'CPF Table'!$A$4:$G$8,5,TRUE)*CPF!D252,VLOOKUP(B252,'CPF Table'!$A$4:$G$8,5,TRUE)*CPF!C252+VLOOKUP(B252,'CPF Table'!$A$4:$G$8,5,TRUE)*CPF!D252)</f>
        <v>0</v>
      </c>
      <c r="G252" s="18">
        <f>VLOOKUP(B252,'CPF Table'!$A$13:$E$23,3,TRUE)*F252</f>
        <v>0</v>
      </c>
      <c r="H252" s="18">
        <f>VLOOKUP(B252,'CPF Table'!$A$13:$E$23,4,TRUE)*CPF!F252</f>
        <v>0</v>
      </c>
      <c r="I252" s="18">
        <f>VLOOKUP(B252,'CPF Table'!$A$13:$E$23,5,TRUE)*CPF!F252</f>
        <v>0</v>
      </c>
      <c r="J252" s="103">
        <f t="shared" si="6"/>
        <v>0</v>
      </c>
    </row>
    <row r="253" spans="3:10">
      <c r="C253" s="126">
        <v>0</v>
      </c>
      <c r="D253" s="127">
        <v>0</v>
      </c>
      <c r="E253" s="82">
        <f t="shared" si="7"/>
        <v>0</v>
      </c>
      <c r="F253" s="18">
        <f>IF(VLOOKUP(B253,'CPF Table'!$A$4:$G$8,5,TRUE)*CPF!C253&gt;=VLOOKUP(B253,'CPF Table'!$A$4:$G$8,6,TRUE),VLOOKUP(B253,'CPF Table'!$A$4:$G$8,5,TRUE)*C253+VLOOKUP(B253,'CPF Table'!$A$4:$G$8,5,TRUE)*CPF!D253,VLOOKUP(B253,'CPF Table'!$A$4:$G$8,5,TRUE)*CPF!C253+VLOOKUP(B253,'CPF Table'!$A$4:$G$8,5,TRUE)*CPF!D253)</f>
        <v>0</v>
      </c>
      <c r="G253" s="18">
        <f>VLOOKUP(B253,'CPF Table'!$A$13:$E$23,3,TRUE)*F253</f>
        <v>0</v>
      </c>
      <c r="H253" s="18">
        <f>VLOOKUP(B253,'CPF Table'!$A$13:$E$23,4,TRUE)*CPF!F253</f>
        <v>0</v>
      </c>
      <c r="I253" s="18">
        <f>VLOOKUP(B253,'CPF Table'!$A$13:$E$23,5,TRUE)*CPF!F253</f>
        <v>0</v>
      </c>
      <c r="J253" s="103">
        <f t="shared" si="6"/>
        <v>0</v>
      </c>
    </row>
    <row r="254" spans="3:10">
      <c r="C254" s="126">
        <v>0</v>
      </c>
      <c r="D254" s="127">
        <v>0</v>
      </c>
      <c r="E254" s="82">
        <f t="shared" si="7"/>
        <v>0</v>
      </c>
      <c r="F254" s="18">
        <f>IF(VLOOKUP(B254,'CPF Table'!$A$4:$G$8,5,TRUE)*CPF!C254&gt;=VLOOKUP(B254,'CPF Table'!$A$4:$G$8,6,TRUE),VLOOKUP(B254,'CPF Table'!$A$4:$G$8,5,TRUE)*C254+VLOOKUP(B254,'CPF Table'!$A$4:$G$8,5,TRUE)*CPF!D254,VLOOKUP(B254,'CPF Table'!$A$4:$G$8,5,TRUE)*CPF!C254+VLOOKUP(B254,'CPF Table'!$A$4:$G$8,5,TRUE)*CPF!D254)</f>
        <v>0</v>
      </c>
      <c r="G254" s="18">
        <f>VLOOKUP(B254,'CPF Table'!$A$13:$E$23,3,TRUE)*F254</f>
        <v>0</v>
      </c>
      <c r="H254" s="18">
        <f>VLOOKUP(B254,'CPF Table'!$A$13:$E$23,4,TRUE)*CPF!F254</f>
        <v>0</v>
      </c>
      <c r="I254" s="18">
        <f>VLOOKUP(B254,'CPF Table'!$A$13:$E$23,5,TRUE)*CPF!F254</f>
        <v>0</v>
      </c>
      <c r="J254" s="103">
        <f t="shared" si="6"/>
        <v>0</v>
      </c>
    </row>
    <row r="255" spans="3:10">
      <c r="C255" s="126">
        <v>0</v>
      </c>
      <c r="D255" s="127">
        <v>0</v>
      </c>
      <c r="E255" s="82">
        <f t="shared" si="7"/>
        <v>0</v>
      </c>
      <c r="F255" s="18">
        <f>IF(VLOOKUP(B255,'CPF Table'!$A$4:$G$8,5,TRUE)*CPF!C255&gt;=VLOOKUP(B255,'CPF Table'!$A$4:$G$8,6,TRUE),VLOOKUP(B255,'CPF Table'!$A$4:$G$8,5,TRUE)*C255+VLOOKUP(B255,'CPF Table'!$A$4:$G$8,5,TRUE)*CPF!D255,VLOOKUP(B255,'CPF Table'!$A$4:$G$8,5,TRUE)*CPF!C255+VLOOKUP(B255,'CPF Table'!$A$4:$G$8,5,TRUE)*CPF!D255)</f>
        <v>0</v>
      </c>
      <c r="G255" s="18">
        <f>VLOOKUP(B255,'CPF Table'!$A$13:$E$23,3,TRUE)*F255</f>
        <v>0</v>
      </c>
      <c r="H255" s="18">
        <f>VLOOKUP(B255,'CPF Table'!$A$13:$E$23,4,TRUE)*CPF!F255</f>
        <v>0</v>
      </c>
      <c r="I255" s="18">
        <f>VLOOKUP(B255,'CPF Table'!$A$13:$E$23,5,TRUE)*CPF!F255</f>
        <v>0</v>
      </c>
      <c r="J255" s="103">
        <f t="shared" si="6"/>
        <v>0</v>
      </c>
    </row>
    <row r="256" spans="3:10">
      <c r="C256" s="126">
        <v>0</v>
      </c>
      <c r="D256" s="127">
        <v>0</v>
      </c>
      <c r="E256" s="82">
        <f t="shared" si="7"/>
        <v>0</v>
      </c>
      <c r="F256" s="18">
        <f>IF(VLOOKUP(B256,'CPF Table'!$A$4:$G$8,5,TRUE)*CPF!C256&gt;=VLOOKUP(B256,'CPF Table'!$A$4:$G$8,6,TRUE),VLOOKUP(B256,'CPF Table'!$A$4:$G$8,5,TRUE)*C256+VLOOKUP(B256,'CPF Table'!$A$4:$G$8,5,TRUE)*CPF!D256,VLOOKUP(B256,'CPF Table'!$A$4:$G$8,5,TRUE)*CPF!C256+VLOOKUP(B256,'CPF Table'!$A$4:$G$8,5,TRUE)*CPF!D256)</f>
        <v>0</v>
      </c>
      <c r="G256" s="18">
        <f>VLOOKUP(B256,'CPF Table'!$A$13:$E$23,3,TRUE)*F256</f>
        <v>0</v>
      </c>
      <c r="H256" s="18">
        <f>VLOOKUP(B256,'CPF Table'!$A$13:$E$23,4,TRUE)*CPF!F256</f>
        <v>0</v>
      </c>
      <c r="I256" s="18">
        <f>VLOOKUP(B256,'CPF Table'!$A$13:$E$23,5,TRUE)*CPF!F256</f>
        <v>0</v>
      </c>
      <c r="J256" s="103">
        <f t="shared" si="6"/>
        <v>0</v>
      </c>
    </row>
    <row r="257" spans="3:10">
      <c r="C257" s="126">
        <v>0</v>
      </c>
      <c r="D257" s="127">
        <v>0</v>
      </c>
      <c r="E257" s="82">
        <f t="shared" si="7"/>
        <v>0</v>
      </c>
      <c r="F257" s="18">
        <f>IF(VLOOKUP(B257,'CPF Table'!$A$4:$G$8,5,TRUE)*CPF!C257&gt;=VLOOKUP(B257,'CPF Table'!$A$4:$G$8,6,TRUE),VLOOKUP(B257,'CPF Table'!$A$4:$G$8,5,TRUE)*C257+VLOOKUP(B257,'CPF Table'!$A$4:$G$8,5,TRUE)*CPF!D257,VLOOKUP(B257,'CPF Table'!$A$4:$G$8,5,TRUE)*CPF!C257+VLOOKUP(B257,'CPF Table'!$A$4:$G$8,5,TRUE)*CPF!D257)</f>
        <v>0</v>
      </c>
      <c r="G257" s="18">
        <f>VLOOKUP(B257,'CPF Table'!$A$13:$E$23,3,TRUE)*F257</f>
        <v>0</v>
      </c>
      <c r="H257" s="18">
        <f>VLOOKUP(B257,'CPF Table'!$A$13:$E$23,4,TRUE)*CPF!F257</f>
        <v>0</v>
      </c>
      <c r="I257" s="18">
        <f>VLOOKUP(B257,'CPF Table'!$A$13:$E$23,5,TRUE)*CPF!F257</f>
        <v>0</v>
      </c>
      <c r="J257" s="103">
        <f t="shared" si="6"/>
        <v>0</v>
      </c>
    </row>
    <row r="258" spans="3:10">
      <c r="C258" s="126">
        <v>0</v>
      </c>
      <c r="D258" s="127">
        <v>0</v>
      </c>
      <c r="E258" s="82">
        <f t="shared" si="7"/>
        <v>0</v>
      </c>
      <c r="F258" s="18">
        <f>IF(VLOOKUP(B258,'CPF Table'!$A$4:$G$8,5,TRUE)*CPF!C258&gt;=VLOOKUP(B258,'CPF Table'!$A$4:$G$8,6,TRUE),VLOOKUP(B258,'CPF Table'!$A$4:$G$8,5,TRUE)*C258+VLOOKUP(B258,'CPF Table'!$A$4:$G$8,5,TRUE)*CPF!D258,VLOOKUP(B258,'CPF Table'!$A$4:$G$8,5,TRUE)*CPF!C258+VLOOKUP(B258,'CPF Table'!$A$4:$G$8,5,TRUE)*CPF!D258)</f>
        <v>0</v>
      </c>
      <c r="G258" s="18">
        <f>VLOOKUP(B258,'CPF Table'!$A$13:$E$23,3,TRUE)*F258</f>
        <v>0</v>
      </c>
      <c r="H258" s="18">
        <f>VLOOKUP(B258,'CPF Table'!$A$13:$E$23,4,TRUE)*CPF!F258</f>
        <v>0</v>
      </c>
      <c r="I258" s="18">
        <f>VLOOKUP(B258,'CPF Table'!$A$13:$E$23,5,TRUE)*CPF!F258</f>
        <v>0</v>
      </c>
      <c r="J258" s="103">
        <f t="shared" si="6"/>
        <v>0</v>
      </c>
    </row>
    <row r="259" spans="3:10">
      <c r="C259" s="126">
        <v>0</v>
      </c>
      <c r="D259" s="127">
        <v>0</v>
      </c>
      <c r="E259" s="82">
        <f t="shared" si="7"/>
        <v>0</v>
      </c>
      <c r="F259" s="18">
        <f>IF(VLOOKUP(B259,'CPF Table'!$A$4:$G$8,5,TRUE)*CPF!C259&gt;=VLOOKUP(B259,'CPF Table'!$A$4:$G$8,6,TRUE),VLOOKUP(B259,'CPF Table'!$A$4:$G$8,5,TRUE)*C259+VLOOKUP(B259,'CPF Table'!$A$4:$G$8,5,TRUE)*CPF!D259,VLOOKUP(B259,'CPF Table'!$A$4:$G$8,5,TRUE)*CPF!C259+VLOOKUP(B259,'CPF Table'!$A$4:$G$8,5,TRUE)*CPF!D259)</f>
        <v>0</v>
      </c>
      <c r="G259" s="18">
        <f>VLOOKUP(B259,'CPF Table'!$A$13:$E$23,3,TRUE)*F259</f>
        <v>0</v>
      </c>
      <c r="H259" s="18">
        <f>VLOOKUP(B259,'CPF Table'!$A$13:$E$23,4,TRUE)*CPF!F259</f>
        <v>0</v>
      </c>
      <c r="I259" s="18">
        <f>VLOOKUP(B259,'CPF Table'!$A$13:$E$23,5,TRUE)*CPF!F259</f>
        <v>0</v>
      </c>
      <c r="J259" s="103">
        <f t="shared" si="6"/>
        <v>0</v>
      </c>
    </row>
    <row r="260" spans="3:10">
      <c r="C260" s="126">
        <v>0</v>
      </c>
      <c r="D260" s="127">
        <v>0</v>
      </c>
      <c r="E260" s="82">
        <f t="shared" si="7"/>
        <v>0</v>
      </c>
      <c r="F260" s="18">
        <f>IF(VLOOKUP(B260,'CPF Table'!$A$4:$G$8,5,TRUE)*CPF!C260&gt;=VLOOKUP(B260,'CPF Table'!$A$4:$G$8,6,TRUE),VLOOKUP(B260,'CPF Table'!$A$4:$G$8,5,TRUE)*C260+VLOOKUP(B260,'CPF Table'!$A$4:$G$8,5,TRUE)*CPF!D260,VLOOKUP(B260,'CPF Table'!$A$4:$G$8,5,TRUE)*CPF!C260+VLOOKUP(B260,'CPF Table'!$A$4:$G$8,5,TRUE)*CPF!D260)</f>
        <v>0</v>
      </c>
      <c r="G260" s="18">
        <f>VLOOKUP(B260,'CPF Table'!$A$13:$E$23,3,TRUE)*F260</f>
        <v>0</v>
      </c>
      <c r="H260" s="18">
        <f>VLOOKUP(B260,'CPF Table'!$A$13:$E$23,4,TRUE)*CPF!F260</f>
        <v>0</v>
      </c>
      <c r="I260" s="18">
        <f>VLOOKUP(B260,'CPF Table'!$A$13:$E$23,5,TRUE)*CPF!F260</f>
        <v>0</v>
      </c>
      <c r="J260" s="103">
        <f t="shared" si="6"/>
        <v>0</v>
      </c>
    </row>
    <row r="261" spans="3:10">
      <c r="C261" s="126">
        <v>0</v>
      </c>
      <c r="D261" s="127">
        <v>0</v>
      </c>
      <c r="E261" s="82">
        <f t="shared" si="7"/>
        <v>0</v>
      </c>
      <c r="F261" s="18">
        <f>IF(VLOOKUP(B261,'CPF Table'!$A$4:$G$8,5,TRUE)*CPF!C261&gt;=VLOOKUP(B261,'CPF Table'!$A$4:$G$8,6,TRUE),VLOOKUP(B261,'CPF Table'!$A$4:$G$8,5,TRUE)*C261+VLOOKUP(B261,'CPF Table'!$A$4:$G$8,5,TRUE)*CPF!D261,VLOOKUP(B261,'CPF Table'!$A$4:$G$8,5,TRUE)*CPF!C261+VLOOKUP(B261,'CPF Table'!$A$4:$G$8,5,TRUE)*CPF!D261)</f>
        <v>0</v>
      </c>
      <c r="G261" s="18">
        <f>VLOOKUP(B261,'CPF Table'!$A$13:$E$23,3,TRUE)*F261</f>
        <v>0</v>
      </c>
      <c r="H261" s="18">
        <f>VLOOKUP(B261,'CPF Table'!$A$13:$E$23,4,TRUE)*CPF!F261</f>
        <v>0</v>
      </c>
      <c r="I261" s="18">
        <f>VLOOKUP(B261,'CPF Table'!$A$13:$E$23,5,TRUE)*CPF!F261</f>
        <v>0</v>
      </c>
      <c r="J261" s="103">
        <f t="shared" si="6"/>
        <v>0</v>
      </c>
    </row>
    <row r="262" spans="3:10">
      <c r="C262" s="126">
        <v>0</v>
      </c>
      <c r="D262" s="127">
        <v>0</v>
      </c>
      <c r="E262" s="82">
        <f t="shared" si="7"/>
        <v>0</v>
      </c>
      <c r="F262" s="18">
        <f>IF(VLOOKUP(B262,'CPF Table'!$A$4:$G$8,5,TRUE)*CPF!C262&gt;=VLOOKUP(B262,'CPF Table'!$A$4:$G$8,6,TRUE),VLOOKUP(B262,'CPF Table'!$A$4:$G$8,5,TRUE)*C262+VLOOKUP(B262,'CPF Table'!$A$4:$G$8,5,TRUE)*CPF!D262,VLOOKUP(B262,'CPF Table'!$A$4:$G$8,5,TRUE)*CPF!C262+VLOOKUP(B262,'CPF Table'!$A$4:$G$8,5,TRUE)*CPF!D262)</f>
        <v>0</v>
      </c>
      <c r="G262" s="18">
        <f>VLOOKUP(B262,'CPF Table'!$A$13:$E$23,3,TRUE)*F262</f>
        <v>0</v>
      </c>
      <c r="H262" s="18">
        <f>VLOOKUP(B262,'CPF Table'!$A$13:$E$23,4,TRUE)*CPF!F262</f>
        <v>0</v>
      </c>
      <c r="I262" s="18">
        <f>VLOOKUP(B262,'CPF Table'!$A$13:$E$23,5,TRUE)*CPF!F262</f>
        <v>0</v>
      </c>
      <c r="J262" s="103">
        <f t="shared" si="6"/>
        <v>0</v>
      </c>
    </row>
    <row r="263" spans="3:10">
      <c r="C263" s="126">
        <v>0</v>
      </c>
      <c r="D263" s="127">
        <v>0</v>
      </c>
      <c r="E263" s="82">
        <f t="shared" si="7"/>
        <v>0</v>
      </c>
      <c r="F263" s="18">
        <f>IF(VLOOKUP(B263,'CPF Table'!$A$4:$G$8,5,TRUE)*CPF!C263&gt;=VLOOKUP(B263,'CPF Table'!$A$4:$G$8,6,TRUE),VLOOKUP(B263,'CPF Table'!$A$4:$G$8,5,TRUE)*C263+VLOOKUP(B263,'CPF Table'!$A$4:$G$8,5,TRUE)*CPF!D263,VLOOKUP(B263,'CPF Table'!$A$4:$G$8,5,TRUE)*CPF!C263+VLOOKUP(B263,'CPF Table'!$A$4:$G$8,5,TRUE)*CPF!D263)</f>
        <v>0</v>
      </c>
      <c r="G263" s="18">
        <f>VLOOKUP(B263,'CPF Table'!$A$13:$E$23,3,TRUE)*F263</f>
        <v>0</v>
      </c>
      <c r="H263" s="18">
        <f>VLOOKUP(B263,'CPF Table'!$A$13:$E$23,4,TRUE)*CPF!F263</f>
        <v>0</v>
      </c>
      <c r="I263" s="18">
        <f>VLOOKUP(B263,'CPF Table'!$A$13:$E$23,5,TRUE)*CPF!F263</f>
        <v>0</v>
      </c>
      <c r="J263" s="103">
        <f t="shared" si="6"/>
        <v>0</v>
      </c>
    </row>
    <row r="264" spans="3:10">
      <c r="C264" s="126">
        <v>0</v>
      </c>
      <c r="D264" s="127">
        <v>0</v>
      </c>
      <c r="E264" s="82">
        <f t="shared" si="7"/>
        <v>0</v>
      </c>
      <c r="F264" s="18">
        <f>IF(VLOOKUP(B264,'CPF Table'!$A$4:$G$8,5,TRUE)*CPF!C264&gt;=VLOOKUP(B264,'CPF Table'!$A$4:$G$8,6,TRUE),VLOOKUP(B264,'CPF Table'!$A$4:$G$8,5,TRUE)*C264+VLOOKUP(B264,'CPF Table'!$A$4:$G$8,5,TRUE)*CPF!D264,VLOOKUP(B264,'CPF Table'!$A$4:$G$8,5,TRUE)*CPF!C264+VLOOKUP(B264,'CPF Table'!$A$4:$G$8,5,TRUE)*CPF!D264)</f>
        <v>0</v>
      </c>
      <c r="G264" s="18">
        <f>VLOOKUP(B264,'CPF Table'!$A$13:$E$23,3,TRUE)*F264</f>
        <v>0</v>
      </c>
      <c r="H264" s="18">
        <f>VLOOKUP(B264,'CPF Table'!$A$13:$E$23,4,TRUE)*CPF!F264</f>
        <v>0</v>
      </c>
      <c r="I264" s="18">
        <f>VLOOKUP(B264,'CPF Table'!$A$13:$E$23,5,TRUE)*CPF!F264</f>
        <v>0</v>
      </c>
      <c r="J264" s="103">
        <f t="shared" si="6"/>
        <v>0</v>
      </c>
    </row>
    <row r="265" spans="3:10">
      <c r="C265" s="126">
        <v>0</v>
      </c>
      <c r="D265" s="127">
        <v>0</v>
      </c>
      <c r="E265" s="82">
        <f t="shared" si="7"/>
        <v>0</v>
      </c>
      <c r="F265" s="18">
        <f>IF(VLOOKUP(B265,'CPF Table'!$A$4:$G$8,5,TRUE)*CPF!C265&gt;=VLOOKUP(B265,'CPF Table'!$A$4:$G$8,6,TRUE),VLOOKUP(B265,'CPF Table'!$A$4:$G$8,5,TRUE)*C265+VLOOKUP(B265,'CPF Table'!$A$4:$G$8,5,TRUE)*CPF!D265,VLOOKUP(B265,'CPF Table'!$A$4:$G$8,5,TRUE)*CPF!C265+VLOOKUP(B265,'CPF Table'!$A$4:$G$8,5,TRUE)*CPF!D265)</f>
        <v>0</v>
      </c>
      <c r="G265" s="18">
        <f>VLOOKUP(B265,'CPF Table'!$A$13:$E$23,3,TRUE)*F265</f>
        <v>0</v>
      </c>
      <c r="H265" s="18">
        <f>VLOOKUP(B265,'CPF Table'!$A$13:$E$23,4,TRUE)*CPF!F265</f>
        <v>0</v>
      </c>
      <c r="I265" s="18">
        <f>VLOOKUP(B265,'CPF Table'!$A$13:$E$23,5,TRUE)*CPF!F265</f>
        <v>0</v>
      </c>
      <c r="J265" s="103">
        <f t="shared" si="6"/>
        <v>0</v>
      </c>
    </row>
    <row r="266" spans="3:10">
      <c r="C266" s="126">
        <v>0</v>
      </c>
      <c r="D266" s="127">
        <v>0</v>
      </c>
      <c r="E266" s="82">
        <f t="shared" si="7"/>
        <v>0</v>
      </c>
      <c r="F266" s="18">
        <f>IF(VLOOKUP(B266,'CPF Table'!$A$4:$G$8,5,TRUE)*CPF!C266&gt;=VLOOKUP(B266,'CPF Table'!$A$4:$G$8,6,TRUE),VLOOKUP(B266,'CPF Table'!$A$4:$G$8,5,TRUE)*C266+VLOOKUP(B266,'CPF Table'!$A$4:$G$8,5,TRUE)*CPF!D266,VLOOKUP(B266,'CPF Table'!$A$4:$G$8,5,TRUE)*CPF!C266+VLOOKUP(B266,'CPF Table'!$A$4:$G$8,5,TRUE)*CPF!D266)</f>
        <v>0</v>
      </c>
      <c r="G266" s="18">
        <f>VLOOKUP(B266,'CPF Table'!$A$13:$E$23,3,TRUE)*F266</f>
        <v>0</v>
      </c>
      <c r="H266" s="18">
        <f>VLOOKUP(B266,'CPF Table'!$A$13:$E$23,4,TRUE)*CPF!F266</f>
        <v>0</v>
      </c>
      <c r="I266" s="18">
        <f>VLOOKUP(B266,'CPF Table'!$A$13:$E$23,5,TRUE)*CPF!F266</f>
        <v>0</v>
      </c>
      <c r="J266" s="103">
        <f t="shared" si="6"/>
        <v>0</v>
      </c>
    </row>
    <row r="267" spans="3:10">
      <c r="C267" s="126">
        <v>0</v>
      </c>
      <c r="D267" s="127">
        <v>0</v>
      </c>
      <c r="E267" s="82">
        <f t="shared" si="7"/>
        <v>0</v>
      </c>
      <c r="F267" s="18">
        <f>IF(VLOOKUP(B267,'CPF Table'!$A$4:$G$8,5,TRUE)*CPF!C267&gt;=VLOOKUP(B267,'CPF Table'!$A$4:$G$8,6,TRUE),VLOOKUP(B267,'CPF Table'!$A$4:$G$8,5,TRUE)*C267+VLOOKUP(B267,'CPF Table'!$A$4:$G$8,5,TRUE)*CPF!D267,VLOOKUP(B267,'CPF Table'!$A$4:$G$8,5,TRUE)*CPF!C267+VLOOKUP(B267,'CPF Table'!$A$4:$G$8,5,TRUE)*CPF!D267)</f>
        <v>0</v>
      </c>
      <c r="G267" s="18">
        <f>VLOOKUP(B267,'CPF Table'!$A$13:$E$23,3,TRUE)*F267</f>
        <v>0</v>
      </c>
      <c r="H267" s="18">
        <f>VLOOKUP(B267,'CPF Table'!$A$13:$E$23,4,TRUE)*CPF!F267</f>
        <v>0</v>
      </c>
      <c r="I267" s="18">
        <f>VLOOKUP(B267,'CPF Table'!$A$13:$E$23,5,TRUE)*CPF!F267</f>
        <v>0</v>
      </c>
      <c r="J267" s="103">
        <f t="shared" si="6"/>
        <v>0</v>
      </c>
    </row>
    <row r="268" spans="3:10">
      <c r="C268" s="126">
        <v>0</v>
      </c>
      <c r="D268" s="127">
        <v>0</v>
      </c>
      <c r="E268" s="82">
        <f t="shared" si="7"/>
        <v>0</v>
      </c>
      <c r="F268" s="18">
        <f>IF(VLOOKUP(B268,'CPF Table'!$A$4:$G$8,5,TRUE)*CPF!C268&gt;=VLOOKUP(B268,'CPF Table'!$A$4:$G$8,6,TRUE),VLOOKUP(B268,'CPF Table'!$A$4:$G$8,5,TRUE)*C268+VLOOKUP(B268,'CPF Table'!$A$4:$G$8,5,TRUE)*CPF!D268,VLOOKUP(B268,'CPF Table'!$A$4:$G$8,5,TRUE)*CPF!C268+VLOOKUP(B268,'CPF Table'!$A$4:$G$8,5,TRUE)*CPF!D268)</f>
        <v>0</v>
      </c>
      <c r="G268" s="18">
        <f>VLOOKUP(B268,'CPF Table'!$A$13:$E$23,3,TRUE)*F268</f>
        <v>0</v>
      </c>
      <c r="H268" s="18">
        <f>VLOOKUP(B268,'CPF Table'!$A$13:$E$23,4,TRUE)*CPF!F268</f>
        <v>0</v>
      </c>
      <c r="I268" s="18">
        <f>VLOOKUP(B268,'CPF Table'!$A$13:$E$23,5,TRUE)*CPF!F268</f>
        <v>0</v>
      </c>
      <c r="J268" s="103">
        <f t="shared" si="6"/>
        <v>0</v>
      </c>
    </row>
    <row r="269" spans="3:10">
      <c r="C269" s="126">
        <v>0</v>
      </c>
      <c r="D269" s="127">
        <v>0</v>
      </c>
      <c r="E269" s="82">
        <f t="shared" si="7"/>
        <v>0</v>
      </c>
      <c r="F269" s="18">
        <f>IF(VLOOKUP(B269,'CPF Table'!$A$4:$G$8,5,TRUE)*CPF!C269&gt;=VLOOKUP(B269,'CPF Table'!$A$4:$G$8,6,TRUE),VLOOKUP(B269,'CPF Table'!$A$4:$G$8,5,TRUE)*C269+VLOOKUP(B269,'CPF Table'!$A$4:$G$8,5,TRUE)*CPF!D269,VLOOKUP(B269,'CPF Table'!$A$4:$G$8,5,TRUE)*CPF!C269+VLOOKUP(B269,'CPF Table'!$A$4:$G$8,5,TRUE)*CPF!D269)</f>
        <v>0</v>
      </c>
      <c r="G269" s="18">
        <f>VLOOKUP(B269,'CPF Table'!$A$13:$E$23,3,TRUE)*F269</f>
        <v>0</v>
      </c>
      <c r="H269" s="18">
        <f>VLOOKUP(B269,'CPF Table'!$A$13:$E$23,4,TRUE)*CPF!F269</f>
        <v>0</v>
      </c>
      <c r="I269" s="18">
        <f>VLOOKUP(B269,'CPF Table'!$A$13:$E$23,5,TRUE)*CPF!F269</f>
        <v>0</v>
      </c>
      <c r="J269" s="103">
        <f t="shared" si="6"/>
        <v>0</v>
      </c>
    </row>
    <row r="270" spans="3:10">
      <c r="C270" s="126">
        <v>0</v>
      </c>
      <c r="D270" s="127">
        <v>0</v>
      </c>
      <c r="E270" s="82">
        <f t="shared" si="7"/>
        <v>0</v>
      </c>
      <c r="F270" s="18">
        <f>IF(VLOOKUP(B270,'CPF Table'!$A$4:$G$8,5,TRUE)*CPF!C270&gt;=VLOOKUP(B270,'CPF Table'!$A$4:$G$8,6,TRUE),VLOOKUP(B270,'CPF Table'!$A$4:$G$8,5,TRUE)*C270+VLOOKUP(B270,'CPF Table'!$A$4:$G$8,5,TRUE)*CPF!D270,VLOOKUP(B270,'CPF Table'!$A$4:$G$8,5,TRUE)*CPF!C270+VLOOKUP(B270,'CPF Table'!$A$4:$G$8,5,TRUE)*CPF!D270)</f>
        <v>0</v>
      </c>
      <c r="G270" s="18">
        <f>VLOOKUP(B270,'CPF Table'!$A$13:$E$23,3,TRUE)*F270</f>
        <v>0</v>
      </c>
      <c r="H270" s="18">
        <f>VLOOKUP(B270,'CPF Table'!$A$13:$E$23,4,TRUE)*CPF!F270</f>
        <v>0</v>
      </c>
      <c r="I270" s="18">
        <f>VLOOKUP(B270,'CPF Table'!$A$13:$E$23,5,TRUE)*CPF!F270</f>
        <v>0</v>
      </c>
      <c r="J270" s="103">
        <f t="shared" ref="J270:J333" si="8">E270-F270</f>
        <v>0</v>
      </c>
    </row>
    <row r="271" spans="3:10">
      <c r="C271" s="126">
        <v>0</v>
      </c>
      <c r="D271" s="127">
        <v>0</v>
      </c>
      <c r="E271" s="82">
        <f t="shared" ref="E271:E334" si="9">C271+D271</f>
        <v>0</v>
      </c>
      <c r="F271" s="18">
        <f>IF(VLOOKUP(B271,'CPF Table'!$A$4:$G$8,5,TRUE)*CPF!C271&gt;=VLOOKUP(B271,'CPF Table'!$A$4:$G$8,6,TRUE),VLOOKUP(B271,'CPF Table'!$A$4:$G$8,5,TRUE)*C271+VLOOKUP(B271,'CPF Table'!$A$4:$G$8,5,TRUE)*CPF!D271,VLOOKUP(B271,'CPF Table'!$A$4:$G$8,5,TRUE)*CPF!C271+VLOOKUP(B271,'CPF Table'!$A$4:$G$8,5,TRUE)*CPF!D271)</f>
        <v>0</v>
      </c>
      <c r="G271" s="18">
        <f>VLOOKUP(B271,'CPF Table'!$A$13:$E$23,3,TRUE)*F271</f>
        <v>0</v>
      </c>
      <c r="H271" s="18">
        <f>VLOOKUP(B271,'CPF Table'!$A$13:$E$23,4,TRUE)*CPF!F271</f>
        <v>0</v>
      </c>
      <c r="I271" s="18">
        <f>VLOOKUP(B271,'CPF Table'!$A$13:$E$23,5,TRUE)*CPF!F271</f>
        <v>0</v>
      </c>
      <c r="J271" s="103">
        <f t="shared" si="8"/>
        <v>0</v>
      </c>
    </row>
    <row r="272" spans="3:10">
      <c r="C272" s="126">
        <v>0</v>
      </c>
      <c r="D272" s="127">
        <v>0</v>
      </c>
      <c r="E272" s="82">
        <f t="shared" si="9"/>
        <v>0</v>
      </c>
      <c r="F272" s="18">
        <f>IF(VLOOKUP(B272,'CPF Table'!$A$4:$G$8,5,TRUE)*CPF!C272&gt;=VLOOKUP(B272,'CPF Table'!$A$4:$G$8,6,TRUE),VLOOKUP(B272,'CPF Table'!$A$4:$G$8,5,TRUE)*C272+VLOOKUP(B272,'CPF Table'!$A$4:$G$8,5,TRUE)*CPF!D272,VLOOKUP(B272,'CPF Table'!$A$4:$G$8,5,TRUE)*CPF!C272+VLOOKUP(B272,'CPF Table'!$A$4:$G$8,5,TRUE)*CPF!D272)</f>
        <v>0</v>
      </c>
      <c r="G272" s="18">
        <f>VLOOKUP(B272,'CPF Table'!$A$13:$E$23,3,TRUE)*F272</f>
        <v>0</v>
      </c>
      <c r="H272" s="18">
        <f>VLOOKUP(B272,'CPF Table'!$A$13:$E$23,4,TRUE)*CPF!F272</f>
        <v>0</v>
      </c>
      <c r="I272" s="18">
        <f>VLOOKUP(B272,'CPF Table'!$A$13:$E$23,5,TRUE)*CPF!F272</f>
        <v>0</v>
      </c>
      <c r="J272" s="103">
        <f t="shared" si="8"/>
        <v>0</v>
      </c>
    </row>
    <row r="273" spans="3:10">
      <c r="C273" s="126">
        <v>0</v>
      </c>
      <c r="D273" s="127">
        <v>0</v>
      </c>
      <c r="E273" s="82">
        <f t="shared" si="9"/>
        <v>0</v>
      </c>
      <c r="F273" s="18">
        <f>IF(VLOOKUP(B273,'CPF Table'!$A$4:$G$8,5,TRUE)*CPF!C273&gt;=VLOOKUP(B273,'CPF Table'!$A$4:$G$8,6,TRUE),VLOOKUP(B273,'CPF Table'!$A$4:$G$8,5,TRUE)*C273+VLOOKUP(B273,'CPF Table'!$A$4:$G$8,5,TRUE)*CPF!D273,VLOOKUP(B273,'CPF Table'!$A$4:$G$8,5,TRUE)*CPF!C273+VLOOKUP(B273,'CPF Table'!$A$4:$G$8,5,TRUE)*CPF!D273)</f>
        <v>0</v>
      </c>
      <c r="G273" s="18">
        <f>VLOOKUP(B273,'CPF Table'!$A$13:$E$23,3,TRUE)*F273</f>
        <v>0</v>
      </c>
      <c r="H273" s="18">
        <f>VLOOKUP(B273,'CPF Table'!$A$13:$E$23,4,TRUE)*CPF!F273</f>
        <v>0</v>
      </c>
      <c r="I273" s="18">
        <f>VLOOKUP(B273,'CPF Table'!$A$13:$E$23,5,TRUE)*CPF!F273</f>
        <v>0</v>
      </c>
      <c r="J273" s="103">
        <f t="shared" si="8"/>
        <v>0</v>
      </c>
    </row>
    <row r="274" spans="3:10">
      <c r="C274" s="126">
        <v>0</v>
      </c>
      <c r="D274" s="127">
        <v>0</v>
      </c>
      <c r="E274" s="82">
        <f t="shared" si="9"/>
        <v>0</v>
      </c>
      <c r="F274" s="18">
        <f>IF(VLOOKUP(B274,'CPF Table'!$A$4:$G$8,5,TRUE)*CPF!C274&gt;=VLOOKUP(B274,'CPF Table'!$A$4:$G$8,6,TRUE),VLOOKUP(B274,'CPF Table'!$A$4:$G$8,5,TRUE)*C274+VLOOKUP(B274,'CPF Table'!$A$4:$G$8,5,TRUE)*CPF!D274,VLOOKUP(B274,'CPF Table'!$A$4:$G$8,5,TRUE)*CPF!C274+VLOOKUP(B274,'CPF Table'!$A$4:$G$8,5,TRUE)*CPF!D274)</f>
        <v>0</v>
      </c>
      <c r="G274" s="18">
        <f>VLOOKUP(B274,'CPF Table'!$A$13:$E$23,3,TRUE)*F274</f>
        <v>0</v>
      </c>
      <c r="H274" s="18">
        <f>VLOOKUP(B274,'CPF Table'!$A$13:$E$23,4,TRUE)*CPF!F274</f>
        <v>0</v>
      </c>
      <c r="I274" s="18">
        <f>VLOOKUP(B274,'CPF Table'!$A$13:$E$23,5,TRUE)*CPF!F274</f>
        <v>0</v>
      </c>
      <c r="J274" s="103">
        <f t="shared" si="8"/>
        <v>0</v>
      </c>
    </row>
    <row r="275" spans="3:10">
      <c r="C275" s="126">
        <v>0</v>
      </c>
      <c r="D275" s="127">
        <v>0</v>
      </c>
      <c r="E275" s="82">
        <f t="shared" si="9"/>
        <v>0</v>
      </c>
      <c r="F275" s="18">
        <f>IF(VLOOKUP(B275,'CPF Table'!$A$4:$G$8,5,TRUE)*CPF!C275&gt;=VLOOKUP(B275,'CPF Table'!$A$4:$G$8,6,TRUE),VLOOKUP(B275,'CPF Table'!$A$4:$G$8,5,TRUE)*C275+VLOOKUP(B275,'CPF Table'!$A$4:$G$8,5,TRUE)*CPF!D275,VLOOKUP(B275,'CPF Table'!$A$4:$G$8,5,TRUE)*CPF!C275+VLOOKUP(B275,'CPF Table'!$A$4:$G$8,5,TRUE)*CPF!D275)</f>
        <v>0</v>
      </c>
      <c r="G275" s="18">
        <f>VLOOKUP(B275,'CPF Table'!$A$13:$E$23,3,TRUE)*F275</f>
        <v>0</v>
      </c>
      <c r="H275" s="18">
        <f>VLOOKUP(B275,'CPF Table'!$A$13:$E$23,4,TRUE)*CPF!F275</f>
        <v>0</v>
      </c>
      <c r="I275" s="18">
        <f>VLOOKUP(B275,'CPF Table'!$A$13:$E$23,5,TRUE)*CPF!F275</f>
        <v>0</v>
      </c>
      <c r="J275" s="103">
        <f t="shared" si="8"/>
        <v>0</v>
      </c>
    </row>
    <row r="276" spans="3:10">
      <c r="C276" s="126">
        <v>0</v>
      </c>
      <c r="D276" s="127">
        <v>0</v>
      </c>
      <c r="E276" s="82">
        <f t="shared" si="9"/>
        <v>0</v>
      </c>
      <c r="F276" s="18">
        <f>IF(VLOOKUP(B276,'CPF Table'!$A$4:$G$8,5,TRUE)*CPF!C276&gt;=VLOOKUP(B276,'CPF Table'!$A$4:$G$8,6,TRUE),VLOOKUP(B276,'CPF Table'!$A$4:$G$8,5,TRUE)*C276+VLOOKUP(B276,'CPF Table'!$A$4:$G$8,5,TRUE)*CPF!D276,VLOOKUP(B276,'CPF Table'!$A$4:$G$8,5,TRUE)*CPF!C276+VLOOKUP(B276,'CPF Table'!$A$4:$G$8,5,TRUE)*CPF!D276)</f>
        <v>0</v>
      </c>
      <c r="G276" s="18">
        <f>VLOOKUP(B276,'CPF Table'!$A$13:$E$23,3,TRUE)*F276</f>
        <v>0</v>
      </c>
      <c r="H276" s="18">
        <f>VLOOKUP(B276,'CPF Table'!$A$13:$E$23,4,TRUE)*CPF!F276</f>
        <v>0</v>
      </c>
      <c r="I276" s="18">
        <f>VLOOKUP(B276,'CPF Table'!$A$13:$E$23,5,TRUE)*CPF!F276</f>
        <v>0</v>
      </c>
      <c r="J276" s="103">
        <f t="shared" si="8"/>
        <v>0</v>
      </c>
    </row>
    <row r="277" spans="3:10">
      <c r="C277" s="126">
        <v>0</v>
      </c>
      <c r="D277" s="127">
        <v>0</v>
      </c>
      <c r="E277" s="82">
        <f t="shared" si="9"/>
        <v>0</v>
      </c>
      <c r="F277" s="18">
        <f>IF(VLOOKUP(B277,'CPF Table'!$A$4:$G$8,5,TRUE)*CPF!C277&gt;=VLOOKUP(B277,'CPF Table'!$A$4:$G$8,6,TRUE),VLOOKUP(B277,'CPF Table'!$A$4:$G$8,5,TRUE)*C277+VLOOKUP(B277,'CPF Table'!$A$4:$G$8,5,TRUE)*CPF!D277,VLOOKUP(B277,'CPF Table'!$A$4:$G$8,5,TRUE)*CPF!C277+VLOOKUP(B277,'CPF Table'!$A$4:$G$8,5,TRUE)*CPF!D277)</f>
        <v>0</v>
      </c>
      <c r="G277" s="18">
        <f>VLOOKUP(B277,'CPF Table'!$A$13:$E$23,3,TRUE)*F277</f>
        <v>0</v>
      </c>
      <c r="H277" s="18">
        <f>VLOOKUP(B277,'CPF Table'!$A$13:$E$23,4,TRUE)*CPF!F277</f>
        <v>0</v>
      </c>
      <c r="I277" s="18">
        <f>VLOOKUP(B277,'CPF Table'!$A$13:$E$23,5,TRUE)*CPF!F277</f>
        <v>0</v>
      </c>
      <c r="J277" s="103">
        <f t="shared" si="8"/>
        <v>0</v>
      </c>
    </row>
    <row r="278" spans="3:10">
      <c r="C278" s="126">
        <v>0</v>
      </c>
      <c r="D278" s="127">
        <v>0</v>
      </c>
      <c r="E278" s="82">
        <f t="shared" si="9"/>
        <v>0</v>
      </c>
      <c r="F278" s="18">
        <f>IF(VLOOKUP(B278,'CPF Table'!$A$4:$G$8,5,TRUE)*CPF!C278&gt;=VLOOKUP(B278,'CPF Table'!$A$4:$G$8,6,TRUE),VLOOKUP(B278,'CPF Table'!$A$4:$G$8,5,TRUE)*C278+VLOOKUP(B278,'CPF Table'!$A$4:$G$8,5,TRUE)*CPF!D278,VLOOKUP(B278,'CPF Table'!$A$4:$G$8,5,TRUE)*CPF!C278+VLOOKUP(B278,'CPF Table'!$A$4:$G$8,5,TRUE)*CPF!D278)</f>
        <v>0</v>
      </c>
      <c r="G278" s="18">
        <f>VLOOKUP(B278,'CPF Table'!$A$13:$E$23,3,TRUE)*F278</f>
        <v>0</v>
      </c>
      <c r="H278" s="18">
        <f>VLOOKUP(B278,'CPF Table'!$A$13:$E$23,4,TRUE)*CPF!F278</f>
        <v>0</v>
      </c>
      <c r="I278" s="18">
        <f>VLOOKUP(B278,'CPF Table'!$A$13:$E$23,5,TRUE)*CPF!F278</f>
        <v>0</v>
      </c>
      <c r="J278" s="103">
        <f t="shared" si="8"/>
        <v>0</v>
      </c>
    </row>
    <row r="279" spans="3:10">
      <c r="C279" s="126">
        <v>0</v>
      </c>
      <c r="D279" s="127">
        <v>0</v>
      </c>
      <c r="E279" s="82">
        <f t="shared" si="9"/>
        <v>0</v>
      </c>
      <c r="F279" s="18">
        <f>IF(VLOOKUP(B279,'CPF Table'!$A$4:$G$8,5,TRUE)*CPF!C279&gt;=VLOOKUP(B279,'CPF Table'!$A$4:$G$8,6,TRUE),VLOOKUP(B279,'CPF Table'!$A$4:$G$8,5,TRUE)*C279+VLOOKUP(B279,'CPF Table'!$A$4:$G$8,5,TRUE)*CPF!D279,VLOOKUP(B279,'CPF Table'!$A$4:$G$8,5,TRUE)*CPF!C279+VLOOKUP(B279,'CPF Table'!$A$4:$G$8,5,TRUE)*CPF!D279)</f>
        <v>0</v>
      </c>
      <c r="G279" s="18">
        <f>VLOOKUP(B279,'CPF Table'!$A$13:$E$23,3,TRUE)*F279</f>
        <v>0</v>
      </c>
      <c r="H279" s="18">
        <f>VLOOKUP(B279,'CPF Table'!$A$13:$E$23,4,TRUE)*CPF!F279</f>
        <v>0</v>
      </c>
      <c r="I279" s="18">
        <f>VLOOKUP(B279,'CPF Table'!$A$13:$E$23,5,TRUE)*CPF!F279</f>
        <v>0</v>
      </c>
      <c r="J279" s="103">
        <f t="shared" si="8"/>
        <v>0</v>
      </c>
    </row>
    <row r="280" spans="3:10">
      <c r="C280" s="126">
        <v>0</v>
      </c>
      <c r="D280" s="127">
        <v>0</v>
      </c>
      <c r="E280" s="82">
        <f t="shared" si="9"/>
        <v>0</v>
      </c>
      <c r="F280" s="18">
        <f>IF(VLOOKUP(B280,'CPF Table'!$A$4:$G$8,5,TRUE)*CPF!C280&gt;=VLOOKUP(B280,'CPF Table'!$A$4:$G$8,6,TRUE),VLOOKUP(B280,'CPF Table'!$A$4:$G$8,5,TRUE)*C280+VLOOKUP(B280,'CPF Table'!$A$4:$G$8,5,TRUE)*CPF!D280,VLOOKUP(B280,'CPF Table'!$A$4:$G$8,5,TRUE)*CPF!C280+VLOOKUP(B280,'CPF Table'!$A$4:$G$8,5,TRUE)*CPF!D280)</f>
        <v>0</v>
      </c>
      <c r="G280" s="18">
        <f>VLOOKUP(B280,'CPF Table'!$A$13:$E$23,3,TRUE)*F280</f>
        <v>0</v>
      </c>
      <c r="H280" s="18">
        <f>VLOOKUP(B280,'CPF Table'!$A$13:$E$23,4,TRUE)*CPF!F280</f>
        <v>0</v>
      </c>
      <c r="I280" s="18">
        <f>VLOOKUP(B280,'CPF Table'!$A$13:$E$23,5,TRUE)*CPF!F280</f>
        <v>0</v>
      </c>
      <c r="J280" s="103">
        <f t="shared" si="8"/>
        <v>0</v>
      </c>
    </row>
    <row r="281" spans="3:10">
      <c r="C281" s="126">
        <v>0</v>
      </c>
      <c r="D281" s="127">
        <v>0</v>
      </c>
      <c r="E281" s="82">
        <f t="shared" si="9"/>
        <v>0</v>
      </c>
      <c r="F281" s="18">
        <f>IF(VLOOKUP(B281,'CPF Table'!$A$4:$G$8,5,TRUE)*CPF!C281&gt;=VLOOKUP(B281,'CPF Table'!$A$4:$G$8,6,TRUE),VLOOKUP(B281,'CPF Table'!$A$4:$G$8,5,TRUE)*C281+VLOOKUP(B281,'CPF Table'!$A$4:$G$8,5,TRUE)*CPF!D281,VLOOKUP(B281,'CPF Table'!$A$4:$G$8,5,TRUE)*CPF!C281+VLOOKUP(B281,'CPF Table'!$A$4:$G$8,5,TRUE)*CPF!D281)</f>
        <v>0</v>
      </c>
      <c r="G281" s="18">
        <f>VLOOKUP(B281,'CPF Table'!$A$13:$E$23,3,TRUE)*F281</f>
        <v>0</v>
      </c>
      <c r="H281" s="18">
        <f>VLOOKUP(B281,'CPF Table'!$A$13:$E$23,4,TRUE)*CPF!F281</f>
        <v>0</v>
      </c>
      <c r="I281" s="18">
        <f>VLOOKUP(B281,'CPF Table'!$A$13:$E$23,5,TRUE)*CPF!F281</f>
        <v>0</v>
      </c>
      <c r="J281" s="103">
        <f t="shared" si="8"/>
        <v>0</v>
      </c>
    </row>
    <row r="282" spans="3:10">
      <c r="C282" s="126">
        <v>0</v>
      </c>
      <c r="D282" s="127">
        <v>0</v>
      </c>
      <c r="E282" s="82">
        <f t="shared" si="9"/>
        <v>0</v>
      </c>
      <c r="F282" s="18">
        <f>IF(VLOOKUP(B282,'CPF Table'!$A$4:$G$8,5,TRUE)*CPF!C282&gt;=VLOOKUP(B282,'CPF Table'!$A$4:$G$8,6,TRUE),VLOOKUP(B282,'CPF Table'!$A$4:$G$8,5,TRUE)*C282+VLOOKUP(B282,'CPF Table'!$A$4:$G$8,5,TRUE)*CPF!D282,VLOOKUP(B282,'CPF Table'!$A$4:$G$8,5,TRUE)*CPF!C282+VLOOKUP(B282,'CPF Table'!$A$4:$G$8,5,TRUE)*CPF!D282)</f>
        <v>0</v>
      </c>
      <c r="G282" s="18">
        <f>VLOOKUP(B282,'CPF Table'!$A$13:$E$23,3,TRUE)*F282</f>
        <v>0</v>
      </c>
      <c r="H282" s="18">
        <f>VLOOKUP(B282,'CPF Table'!$A$13:$E$23,4,TRUE)*CPF!F282</f>
        <v>0</v>
      </c>
      <c r="I282" s="18">
        <f>VLOOKUP(B282,'CPF Table'!$A$13:$E$23,5,TRUE)*CPF!F282</f>
        <v>0</v>
      </c>
      <c r="J282" s="103">
        <f t="shared" si="8"/>
        <v>0</v>
      </c>
    </row>
    <row r="283" spans="3:10">
      <c r="C283" s="126">
        <v>0</v>
      </c>
      <c r="D283" s="127">
        <v>0</v>
      </c>
      <c r="E283" s="82">
        <f t="shared" si="9"/>
        <v>0</v>
      </c>
      <c r="F283" s="18">
        <f>IF(VLOOKUP(B283,'CPF Table'!$A$4:$G$8,5,TRUE)*CPF!C283&gt;=VLOOKUP(B283,'CPF Table'!$A$4:$G$8,6,TRUE),VLOOKUP(B283,'CPF Table'!$A$4:$G$8,5,TRUE)*C283+VLOOKUP(B283,'CPF Table'!$A$4:$G$8,5,TRUE)*CPF!D283,VLOOKUP(B283,'CPF Table'!$A$4:$G$8,5,TRUE)*CPF!C283+VLOOKUP(B283,'CPF Table'!$A$4:$G$8,5,TRUE)*CPF!D283)</f>
        <v>0</v>
      </c>
      <c r="G283" s="18">
        <f>VLOOKUP(B283,'CPF Table'!$A$13:$E$23,3,TRUE)*F283</f>
        <v>0</v>
      </c>
      <c r="H283" s="18">
        <f>VLOOKUP(B283,'CPF Table'!$A$13:$E$23,4,TRUE)*CPF!F283</f>
        <v>0</v>
      </c>
      <c r="I283" s="18">
        <f>VLOOKUP(B283,'CPF Table'!$A$13:$E$23,5,TRUE)*CPF!F283</f>
        <v>0</v>
      </c>
      <c r="J283" s="103">
        <f t="shared" si="8"/>
        <v>0</v>
      </c>
    </row>
    <row r="284" spans="3:10">
      <c r="C284" s="126">
        <v>0</v>
      </c>
      <c r="D284" s="127">
        <v>0</v>
      </c>
      <c r="E284" s="82">
        <f t="shared" si="9"/>
        <v>0</v>
      </c>
      <c r="F284" s="18">
        <f>IF(VLOOKUP(B284,'CPF Table'!$A$4:$G$8,5,TRUE)*CPF!C284&gt;=VLOOKUP(B284,'CPF Table'!$A$4:$G$8,6,TRUE),VLOOKUP(B284,'CPF Table'!$A$4:$G$8,5,TRUE)*C284+VLOOKUP(B284,'CPF Table'!$A$4:$G$8,5,TRUE)*CPF!D284,VLOOKUP(B284,'CPF Table'!$A$4:$G$8,5,TRUE)*CPF!C284+VLOOKUP(B284,'CPF Table'!$A$4:$G$8,5,TRUE)*CPF!D284)</f>
        <v>0</v>
      </c>
      <c r="G284" s="18">
        <f>VLOOKUP(B284,'CPF Table'!$A$13:$E$23,3,TRUE)*F284</f>
        <v>0</v>
      </c>
      <c r="H284" s="18">
        <f>VLOOKUP(B284,'CPF Table'!$A$13:$E$23,4,TRUE)*CPF!F284</f>
        <v>0</v>
      </c>
      <c r="I284" s="18">
        <f>VLOOKUP(B284,'CPF Table'!$A$13:$E$23,5,TRUE)*CPF!F284</f>
        <v>0</v>
      </c>
      <c r="J284" s="103">
        <f t="shared" si="8"/>
        <v>0</v>
      </c>
    </row>
    <row r="285" spans="3:10">
      <c r="C285" s="126">
        <v>0</v>
      </c>
      <c r="D285" s="127">
        <v>0</v>
      </c>
      <c r="E285" s="82">
        <f t="shared" si="9"/>
        <v>0</v>
      </c>
      <c r="F285" s="18">
        <f>IF(VLOOKUP(B285,'CPF Table'!$A$4:$G$8,5,TRUE)*CPF!C285&gt;=VLOOKUP(B285,'CPF Table'!$A$4:$G$8,6,TRUE),VLOOKUP(B285,'CPF Table'!$A$4:$G$8,5,TRUE)*C285+VLOOKUP(B285,'CPF Table'!$A$4:$G$8,5,TRUE)*CPF!D285,VLOOKUP(B285,'CPF Table'!$A$4:$G$8,5,TRUE)*CPF!C285+VLOOKUP(B285,'CPF Table'!$A$4:$G$8,5,TRUE)*CPF!D285)</f>
        <v>0</v>
      </c>
      <c r="G285" s="18">
        <f>VLOOKUP(B285,'CPF Table'!$A$13:$E$23,3,TRUE)*F285</f>
        <v>0</v>
      </c>
      <c r="H285" s="18">
        <f>VLOOKUP(B285,'CPF Table'!$A$13:$E$23,4,TRUE)*CPF!F285</f>
        <v>0</v>
      </c>
      <c r="I285" s="18">
        <f>VLOOKUP(B285,'CPF Table'!$A$13:$E$23,5,TRUE)*CPF!F285</f>
        <v>0</v>
      </c>
      <c r="J285" s="103">
        <f t="shared" si="8"/>
        <v>0</v>
      </c>
    </row>
    <row r="286" spans="3:10">
      <c r="C286" s="126">
        <v>0</v>
      </c>
      <c r="D286" s="127">
        <v>0</v>
      </c>
      <c r="E286" s="82">
        <f t="shared" si="9"/>
        <v>0</v>
      </c>
      <c r="F286" s="18">
        <f>IF(VLOOKUP(B286,'CPF Table'!$A$4:$G$8,5,TRUE)*CPF!C286&gt;=VLOOKUP(B286,'CPF Table'!$A$4:$G$8,6,TRUE),VLOOKUP(B286,'CPF Table'!$A$4:$G$8,5,TRUE)*C286+VLOOKUP(B286,'CPF Table'!$A$4:$G$8,5,TRUE)*CPF!D286,VLOOKUP(B286,'CPF Table'!$A$4:$G$8,5,TRUE)*CPF!C286+VLOOKUP(B286,'CPF Table'!$A$4:$G$8,5,TRUE)*CPF!D286)</f>
        <v>0</v>
      </c>
      <c r="G286" s="18">
        <f>VLOOKUP(B286,'CPF Table'!$A$13:$E$23,3,TRUE)*F286</f>
        <v>0</v>
      </c>
      <c r="H286" s="18">
        <f>VLOOKUP(B286,'CPF Table'!$A$13:$E$23,4,TRUE)*CPF!F286</f>
        <v>0</v>
      </c>
      <c r="I286" s="18">
        <f>VLOOKUP(B286,'CPF Table'!$A$13:$E$23,5,TRUE)*CPF!F286</f>
        <v>0</v>
      </c>
      <c r="J286" s="103">
        <f t="shared" si="8"/>
        <v>0</v>
      </c>
    </row>
    <row r="287" spans="3:10">
      <c r="C287" s="126">
        <v>0</v>
      </c>
      <c r="D287" s="127">
        <v>0</v>
      </c>
      <c r="E287" s="82">
        <f t="shared" si="9"/>
        <v>0</v>
      </c>
      <c r="F287" s="18">
        <f>IF(VLOOKUP(B287,'CPF Table'!$A$4:$G$8,5,TRUE)*CPF!C287&gt;=VLOOKUP(B287,'CPF Table'!$A$4:$G$8,6,TRUE),VLOOKUP(B287,'CPF Table'!$A$4:$G$8,5,TRUE)*C287+VLOOKUP(B287,'CPF Table'!$A$4:$G$8,5,TRUE)*CPF!D287,VLOOKUP(B287,'CPF Table'!$A$4:$G$8,5,TRUE)*CPF!C287+VLOOKUP(B287,'CPF Table'!$A$4:$G$8,5,TRUE)*CPF!D287)</f>
        <v>0</v>
      </c>
      <c r="G287" s="18">
        <f>VLOOKUP(B287,'CPF Table'!$A$13:$E$23,3,TRUE)*F287</f>
        <v>0</v>
      </c>
      <c r="H287" s="18">
        <f>VLOOKUP(B287,'CPF Table'!$A$13:$E$23,4,TRUE)*CPF!F287</f>
        <v>0</v>
      </c>
      <c r="I287" s="18">
        <f>VLOOKUP(B287,'CPF Table'!$A$13:$E$23,5,TRUE)*CPF!F287</f>
        <v>0</v>
      </c>
      <c r="J287" s="103">
        <f t="shared" si="8"/>
        <v>0</v>
      </c>
    </row>
    <row r="288" spans="3:10">
      <c r="C288" s="126">
        <v>0</v>
      </c>
      <c r="D288" s="127">
        <v>0</v>
      </c>
      <c r="E288" s="82">
        <f t="shared" si="9"/>
        <v>0</v>
      </c>
      <c r="F288" s="18">
        <f>IF(VLOOKUP(B288,'CPF Table'!$A$4:$G$8,5,TRUE)*CPF!C288&gt;=VLOOKUP(B288,'CPF Table'!$A$4:$G$8,6,TRUE),VLOOKUP(B288,'CPF Table'!$A$4:$G$8,5,TRUE)*C288+VLOOKUP(B288,'CPF Table'!$A$4:$G$8,5,TRUE)*CPF!D288,VLOOKUP(B288,'CPF Table'!$A$4:$G$8,5,TRUE)*CPF!C288+VLOOKUP(B288,'CPF Table'!$A$4:$G$8,5,TRUE)*CPF!D288)</f>
        <v>0</v>
      </c>
      <c r="G288" s="18">
        <f>VLOOKUP(B288,'CPF Table'!$A$13:$E$23,3,TRUE)*F288</f>
        <v>0</v>
      </c>
      <c r="H288" s="18">
        <f>VLOOKUP(B288,'CPF Table'!$A$13:$E$23,4,TRUE)*CPF!F288</f>
        <v>0</v>
      </c>
      <c r="I288" s="18">
        <f>VLOOKUP(B288,'CPF Table'!$A$13:$E$23,5,TRUE)*CPF!F288</f>
        <v>0</v>
      </c>
      <c r="J288" s="103">
        <f t="shared" si="8"/>
        <v>0</v>
      </c>
    </row>
    <row r="289" spans="3:10">
      <c r="C289" s="126">
        <v>0</v>
      </c>
      <c r="D289" s="127">
        <v>0</v>
      </c>
      <c r="E289" s="82">
        <f t="shared" si="9"/>
        <v>0</v>
      </c>
      <c r="F289" s="18">
        <f>IF(VLOOKUP(B289,'CPF Table'!$A$4:$G$8,5,TRUE)*CPF!C289&gt;=VLOOKUP(B289,'CPF Table'!$A$4:$G$8,6,TRUE),VLOOKUP(B289,'CPF Table'!$A$4:$G$8,5,TRUE)*C289+VLOOKUP(B289,'CPF Table'!$A$4:$G$8,5,TRUE)*CPF!D289,VLOOKUP(B289,'CPF Table'!$A$4:$G$8,5,TRUE)*CPF!C289+VLOOKUP(B289,'CPF Table'!$A$4:$G$8,5,TRUE)*CPF!D289)</f>
        <v>0</v>
      </c>
      <c r="G289" s="18">
        <f>VLOOKUP(B289,'CPF Table'!$A$13:$E$23,3,TRUE)*F289</f>
        <v>0</v>
      </c>
      <c r="H289" s="18">
        <f>VLOOKUP(B289,'CPF Table'!$A$13:$E$23,4,TRUE)*CPF!F289</f>
        <v>0</v>
      </c>
      <c r="I289" s="18">
        <f>VLOOKUP(B289,'CPF Table'!$A$13:$E$23,5,TRUE)*CPF!F289</f>
        <v>0</v>
      </c>
      <c r="J289" s="103">
        <f t="shared" si="8"/>
        <v>0</v>
      </c>
    </row>
    <row r="290" spans="3:10">
      <c r="C290" s="126">
        <v>0</v>
      </c>
      <c r="D290" s="127">
        <v>0</v>
      </c>
      <c r="E290" s="82">
        <f t="shared" si="9"/>
        <v>0</v>
      </c>
      <c r="F290" s="18">
        <f>IF(VLOOKUP(B290,'CPF Table'!$A$4:$G$8,5,TRUE)*CPF!C290&gt;=VLOOKUP(B290,'CPF Table'!$A$4:$G$8,6,TRUE),VLOOKUP(B290,'CPF Table'!$A$4:$G$8,5,TRUE)*C290+VLOOKUP(B290,'CPF Table'!$A$4:$G$8,5,TRUE)*CPF!D290,VLOOKUP(B290,'CPF Table'!$A$4:$G$8,5,TRUE)*CPF!C290+VLOOKUP(B290,'CPF Table'!$A$4:$G$8,5,TRUE)*CPF!D290)</f>
        <v>0</v>
      </c>
      <c r="G290" s="18">
        <f>VLOOKUP(B290,'CPF Table'!$A$13:$E$23,3,TRUE)*F290</f>
        <v>0</v>
      </c>
      <c r="H290" s="18">
        <f>VLOOKUP(B290,'CPF Table'!$A$13:$E$23,4,TRUE)*CPF!F290</f>
        <v>0</v>
      </c>
      <c r="I290" s="18">
        <f>VLOOKUP(B290,'CPF Table'!$A$13:$E$23,5,TRUE)*CPF!F290</f>
        <v>0</v>
      </c>
      <c r="J290" s="103">
        <f t="shared" si="8"/>
        <v>0</v>
      </c>
    </row>
    <row r="291" spans="3:10">
      <c r="C291" s="126">
        <v>0</v>
      </c>
      <c r="D291" s="127">
        <v>0</v>
      </c>
      <c r="E291" s="82">
        <f t="shared" si="9"/>
        <v>0</v>
      </c>
      <c r="F291" s="18">
        <f>IF(VLOOKUP(B291,'CPF Table'!$A$4:$G$8,5,TRUE)*CPF!C291&gt;=VLOOKUP(B291,'CPF Table'!$A$4:$G$8,6,TRUE),VLOOKUP(B291,'CPF Table'!$A$4:$G$8,5,TRUE)*C291+VLOOKUP(B291,'CPF Table'!$A$4:$G$8,5,TRUE)*CPF!D291,VLOOKUP(B291,'CPF Table'!$A$4:$G$8,5,TRUE)*CPF!C291+VLOOKUP(B291,'CPF Table'!$A$4:$G$8,5,TRUE)*CPF!D291)</f>
        <v>0</v>
      </c>
      <c r="G291" s="18">
        <f>VLOOKUP(B291,'CPF Table'!$A$13:$E$23,3,TRUE)*F291</f>
        <v>0</v>
      </c>
      <c r="H291" s="18">
        <f>VLOOKUP(B291,'CPF Table'!$A$13:$E$23,4,TRUE)*CPF!F291</f>
        <v>0</v>
      </c>
      <c r="I291" s="18">
        <f>VLOOKUP(B291,'CPF Table'!$A$13:$E$23,5,TRUE)*CPF!F291</f>
        <v>0</v>
      </c>
      <c r="J291" s="103">
        <f t="shared" si="8"/>
        <v>0</v>
      </c>
    </row>
    <row r="292" spans="3:10">
      <c r="C292" s="126">
        <v>0</v>
      </c>
      <c r="D292" s="127">
        <v>0</v>
      </c>
      <c r="E292" s="82">
        <f t="shared" si="9"/>
        <v>0</v>
      </c>
      <c r="F292" s="18">
        <f>IF(VLOOKUP(B292,'CPF Table'!$A$4:$G$8,5,TRUE)*CPF!C292&gt;=VLOOKUP(B292,'CPF Table'!$A$4:$G$8,6,TRUE),VLOOKUP(B292,'CPF Table'!$A$4:$G$8,5,TRUE)*C292+VLOOKUP(B292,'CPF Table'!$A$4:$G$8,5,TRUE)*CPF!D292,VLOOKUP(B292,'CPF Table'!$A$4:$G$8,5,TRUE)*CPF!C292+VLOOKUP(B292,'CPF Table'!$A$4:$G$8,5,TRUE)*CPF!D292)</f>
        <v>0</v>
      </c>
      <c r="G292" s="18">
        <f>VLOOKUP(B292,'CPF Table'!$A$13:$E$23,3,TRUE)*F292</f>
        <v>0</v>
      </c>
      <c r="H292" s="18">
        <f>VLOOKUP(B292,'CPF Table'!$A$13:$E$23,4,TRUE)*CPF!F292</f>
        <v>0</v>
      </c>
      <c r="I292" s="18">
        <f>VLOOKUP(B292,'CPF Table'!$A$13:$E$23,5,TRUE)*CPF!F292</f>
        <v>0</v>
      </c>
      <c r="J292" s="103">
        <f t="shared" si="8"/>
        <v>0</v>
      </c>
    </row>
    <row r="293" spans="3:10">
      <c r="C293" s="126">
        <v>0</v>
      </c>
      <c r="D293" s="127">
        <v>0</v>
      </c>
      <c r="E293" s="82">
        <f t="shared" si="9"/>
        <v>0</v>
      </c>
      <c r="F293" s="18">
        <f>IF(VLOOKUP(B293,'CPF Table'!$A$4:$G$8,5,TRUE)*CPF!C293&gt;=VLOOKUP(B293,'CPF Table'!$A$4:$G$8,6,TRUE),VLOOKUP(B293,'CPF Table'!$A$4:$G$8,5,TRUE)*C293+VLOOKUP(B293,'CPF Table'!$A$4:$G$8,5,TRUE)*CPF!D293,VLOOKUP(B293,'CPF Table'!$A$4:$G$8,5,TRUE)*CPF!C293+VLOOKUP(B293,'CPF Table'!$A$4:$G$8,5,TRUE)*CPF!D293)</f>
        <v>0</v>
      </c>
      <c r="G293" s="18">
        <f>VLOOKUP(B293,'CPF Table'!$A$13:$E$23,3,TRUE)*F293</f>
        <v>0</v>
      </c>
      <c r="H293" s="18">
        <f>VLOOKUP(B293,'CPF Table'!$A$13:$E$23,4,TRUE)*CPF!F293</f>
        <v>0</v>
      </c>
      <c r="I293" s="18">
        <f>VLOOKUP(B293,'CPF Table'!$A$13:$E$23,5,TRUE)*CPF!F293</f>
        <v>0</v>
      </c>
      <c r="J293" s="103">
        <f t="shared" si="8"/>
        <v>0</v>
      </c>
    </row>
    <row r="294" spans="3:10">
      <c r="C294" s="126">
        <v>0</v>
      </c>
      <c r="D294" s="127">
        <v>0</v>
      </c>
      <c r="E294" s="82">
        <f t="shared" si="9"/>
        <v>0</v>
      </c>
      <c r="F294" s="18">
        <f>IF(VLOOKUP(B294,'CPF Table'!$A$4:$G$8,5,TRUE)*CPF!C294&gt;=VLOOKUP(B294,'CPF Table'!$A$4:$G$8,6,TRUE),VLOOKUP(B294,'CPF Table'!$A$4:$G$8,5,TRUE)*C294+VLOOKUP(B294,'CPF Table'!$A$4:$G$8,5,TRUE)*CPF!D294,VLOOKUP(B294,'CPF Table'!$A$4:$G$8,5,TRUE)*CPF!C294+VLOOKUP(B294,'CPF Table'!$A$4:$G$8,5,TRUE)*CPF!D294)</f>
        <v>0</v>
      </c>
      <c r="G294" s="18">
        <f>VLOOKUP(B294,'CPF Table'!$A$13:$E$23,3,TRUE)*F294</f>
        <v>0</v>
      </c>
      <c r="H294" s="18">
        <f>VLOOKUP(B294,'CPF Table'!$A$13:$E$23,4,TRUE)*CPF!F294</f>
        <v>0</v>
      </c>
      <c r="I294" s="18">
        <f>VLOOKUP(B294,'CPF Table'!$A$13:$E$23,5,TRUE)*CPF!F294</f>
        <v>0</v>
      </c>
      <c r="J294" s="103">
        <f t="shared" si="8"/>
        <v>0</v>
      </c>
    </row>
    <row r="295" spans="3:10">
      <c r="C295" s="126">
        <v>0</v>
      </c>
      <c r="D295" s="127">
        <v>0</v>
      </c>
      <c r="E295" s="82">
        <f t="shared" si="9"/>
        <v>0</v>
      </c>
      <c r="F295" s="18">
        <f>IF(VLOOKUP(B295,'CPF Table'!$A$4:$G$8,5,TRUE)*CPF!C295&gt;=VLOOKUP(B295,'CPF Table'!$A$4:$G$8,6,TRUE),VLOOKUP(B295,'CPF Table'!$A$4:$G$8,5,TRUE)*C295+VLOOKUP(B295,'CPF Table'!$A$4:$G$8,5,TRUE)*CPF!D295,VLOOKUP(B295,'CPF Table'!$A$4:$G$8,5,TRUE)*CPF!C295+VLOOKUP(B295,'CPF Table'!$A$4:$G$8,5,TRUE)*CPF!D295)</f>
        <v>0</v>
      </c>
      <c r="G295" s="18">
        <f>VLOOKUP(B295,'CPF Table'!$A$13:$E$23,3,TRUE)*F295</f>
        <v>0</v>
      </c>
      <c r="H295" s="18">
        <f>VLOOKUP(B295,'CPF Table'!$A$13:$E$23,4,TRUE)*CPF!F295</f>
        <v>0</v>
      </c>
      <c r="I295" s="18">
        <f>VLOOKUP(B295,'CPF Table'!$A$13:$E$23,5,TRUE)*CPF!F295</f>
        <v>0</v>
      </c>
      <c r="J295" s="103">
        <f t="shared" si="8"/>
        <v>0</v>
      </c>
    </row>
    <row r="296" spans="3:10">
      <c r="C296" s="126">
        <v>0</v>
      </c>
      <c r="D296" s="127">
        <v>0</v>
      </c>
      <c r="E296" s="82">
        <f t="shared" si="9"/>
        <v>0</v>
      </c>
      <c r="F296" s="18">
        <f>IF(VLOOKUP(B296,'CPF Table'!$A$4:$G$8,5,TRUE)*CPF!C296&gt;=VLOOKUP(B296,'CPF Table'!$A$4:$G$8,6,TRUE),VLOOKUP(B296,'CPF Table'!$A$4:$G$8,5,TRUE)*C296+VLOOKUP(B296,'CPF Table'!$A$4:$G$8,5,TRUE)*CPF!D296,VLOOKUP(B296,'CPF Table'!$A$4:$G$8,5,TRUE)*CPF!C296+VLOOKUP(B296,'CPF Table'!$A$4:$G$8,5,TRUE)*CPF!D296)</f>
        <v>0</v>
      </c>
      <c r="G296" s="18">
        <f>VLOOKUP(B296,'CPF Table'!$A$13:$E$23,3,TRUE)*F296</f>
        <v>0</v>
      </c>
      <c r="H296" s="18">
        <f>VLOOKUP(B296,'CPF Table'!$A$13:$E$23,4,TRUE)*CPF!F296</f>
        <v>0</v>
      </c>
      <c r="I296" s="18">
        <f>VLOOKUP(B296,'CPF Table'!$A$13:$E$23,5,TRUE)*CPF!F296</f>
        <v>0</v>
      </c>
      <c r="J296" s="103">
        <f t="shared" si="8"/>
        <v>0</v>
      </c>
    </row>
    <row r="297" spans="3:10">
      <c r="C297" s="126">
        <v>0</v>
      </c>
      <c r="D297" s="127">
        <v>0</v>
      </c>
      <c r="E297" s="82">
        <f t="shared" si="9"/>
        <v>0</v>
      </c>
      <c r="F297" s="18">
        <f>IF(VLOOKUP(B297,'CPF Table'!$A$4:$G$8,5,TRUE)*CPF!C297&gt;=VLOOKUP(B297,'CPF Table'!$A$4:$G$8,6,TRUE),VLOOKUP(B297,'CPF Table'!$A$4:$G$8,5,TRUE)*C297+VLOOKUP(B297,'CPF Table'!$A$4:$G$8,5,TRUE)*CPF!D297,VLOOKUP(B297,'CPF Table'!$A$4:$G$8,5,TRUE)*CPF!C297+VLOOKUP(B297,'CPF Table'!$A$4:$G$8,5,TRUE)*CPF!D297)</f>
        <v>0</v>
      </c>
      <c r="G297" s="18">
        <f>VLOOKUP(B297,'CPF Table'!$A$13:$E$23,3,TRUE)*F297</f>
        <v>0</v>
      </c>
      <c r="H297" s="18">
        <f>VLOOKUP(B297,'CPF Table'!$A$13:$E$23,4,TRUE)*CPF!F297</f>
        <v>0</v>
      </c>
      <c r="I297" s="18">
        <f>VLOOKUP(B297,'CPF Table'!$A$13:$E$23,5,TRUE)*CPF!F297</f>
        <v>0</v>
      </c>
      <c r="J297" s="103">
        <f t="shared" si="8"/>
        <v>0</v>
      </c>
    </row>
    <row r="298" spans="3:10">
      <c r="C298" s="126">
        <v>0</v>
      </c>
      <c r="D298" s="127">
        <v>0</v>
      </c>
      <c r="E298" s="82">
        <f t="shared" si="9"/>
        <v>0</v>
      </c>
      <c r="F298" s="18">
        <f>IF(VLOOKUP(B298,'CPF Table'!$A$4:$G$8,5,TRUE)*CPF!C298&gt;=VLOOKUP(B298,'CPF Table'!$A$4:$G$8,6,TRUE),VLOOKUP(B298,'CPF Table'!$A$4:$G$8,5,TRUE)*C298+VLOOKUP(B298,'CPF Table'!$A$4:$G$8,5,TRUE)*CPF!D298,VLOOKUP(B298,'CPF Table'!$A$4:$G$8,5,TRUE)*CPF!C298+VLOOKUP(B298,'CPF Table'!$A$4:$G$8,5,TRUE)*CPF!D298)</f>
        <v>0</v>
      </c>
      <c r="G298" s="18">
        <f>VLOOKUP(B298,'CPF Table'!$A$13:$E$23,3,TRUE)*F298</f>
        <v>0</v>
      </c>
      <c r="H298" s="18">
        <f>VLOOKUP(B298,'CPF Table'!$A$13:$E$23,4,TRUE)*CPF!F298</f>
        <v>0</v>
      </c>
      <c r="I298" s="18">
        <f>VLOOKUP(B298,'CPF Table'!$A$13:$E$23,5,TRUE)*CPF!F298</f>
        <v>0</v>
      </c>
      <c r="J298" s="103">
        <f t="shared" si="8"/>
        <v>0</v>
      </c>
    </row>
    <row r="299" spans="3:10">
      <c r="C299" s="126">
        <v>0</v>
      </c>
      <c r="D299" s="127">
        <v>0</v>
      </c>
      <c r="E299" s="82">
        <f t="shared" si="9"/>
        <v>0</v>
      </c>
      <c r="F299" s="18">
        <f>IF(VLOOKUP(B299,'CPF Table'!$A$4:$G$8,5,TRUE)*CPF!C299&gt;=VLOOKUP(B299,'CPF Table'!$A$4:$G$8,6,TRUE),VLOOKUP(B299,'CPF Table'!$A$4:$G$8,5,TRUE)*C299+VLOOKUP(B299,'CPF Table'!$A$4:$G$8,5,TRUE)*CPF!D299,VLOOKUP(B299,'CPF Table'!$A$4:$G$8,5,TRUE)*CPF!C299+VLOOKUP(B299,'CPF Table'!$A$4:$G$8,5,TRUE)*CPF!D299)</f>
        <v>0</v>
      </c>
      <c r="G299" s="18">
        <f>VLOOKUP(B299,'CPF Table'!$A$13:$E$23,3,TRUE)*F299</f>
        <v>0</v>
      </c>
      <c r="H299" s="18">
        <f>VLOOKUP(B299,'CPF Table'!$A$13:$E$23,4,TRUE)*CPF!F299</f>
        <v>0</v>
      </c>
      <c r="I299" s="18">
        <f>VLOOKUP(B299,'CPF Table'!$A$13:$E$23,5,TRUE)*CPF!F299</f>
        <v>0</v>
      </c>
      <c r="J299" s="103">
        <f t="shared" si="8"/>
        <v>0</v>
      </c>
    </row>
    <row r="300" spans="3:10">
      <c r="C300" s="126">
        <v>0</v>
      </c>
      <c r="D300" s="127">
        <v>0</v>
      </c>
      <c r="E300" s="82">
        <f t="shared" si="9"/>
        <v>0</v>
      </c>
      <c r="F300" s="18">
        <f>IF(VLOOKUP(B300,'CPF Table'!$A$4:$G$8,5,TRUE)*CPF!C300&gt;=VLOOKUP(B300,'CPF Table'!$A$4:$G$8,6,TRUE),VLOOKUP(B300,'CPF Table'!$A$4:$G$8,5,TRUE)*C300+VLOOKUP(B300,'CPF Table'!$A$4:$G$8,5,TRUE)*CPF!D300,VLOOKUP(B300,'CPF Table'!$A$4:$G$8,5,TRUE)*CPF!C300+VLOOKUP(B300,'CPF Table'!$A$4:$G$8,5,TRUE)*CPF!D300)</f>
        <v>0</v>
      </c>
      <c r="G300" s="18">
        <f>VLOOKUP(B300,'CPF Table'!$A$13:$E$23,3,TRUE)*F300</f>
        <v>0</v>
      </c>
      <c r="H300" s="18">
        <f>VLOOKUP(B300,'CPF Table'!$A$13:$E$23,4,TRUE)*CPF!F300</f>
        <v>0</v>
      </c>
      <c r="I300" s="18">
        <f>VLOOKUP(B300,'CPF Table'!$A$13:$E$23,5,TRUE)*CPF!F300</f>
        <v>0</v>
      </c>
      <c r="J300" s="103">
        <f t="shared" si="8"/>
        <v>0</v>
      </c>
    </row>
    <row r="301" spans="3:10">
      <c r="C301" s="126">
        <v>0</v>
      </c>
      <c r="D301" s="127">
        <v>0</v>
      </c>
      <c r="E301" s="82">
        <f t="shared" si="9"/>
        <v>0</v>
      </c>
      <c r="F301" s="18">
        <f>IF(VLOOKUP(B301,'CPF Table'!$A$4:$G$8,5,TRUE)*CPF!C301&gt;=VLOOKUP(B301,'CPF Table'!$A$4:$G$8,6,TRUE),VLOOKUP(B301,'CPF Table'!$A$4:$G$8,5,TRUE)*C301+VLOOKUP(B301,'CPF Table'!$A$4:$G$8,5,TRUE)*CPF!D301,VLOOKUP(B301,'CPF Table'!$A$4:$G$8,5,TRUE)*CPF!C301+VLOOKUP(B301,'CPF Table'!$A$4:$G$8,5,TRUE)*CPF!D301)</f>
        <v>0</v>
      </c>
      <c r="G301" s="18">
        <f>VLOOKUP(B301,'CPF Table'!$A$13:$E$23,3,TRUE)*F301</f>
        <v>0</v>
      </c>
      <c r="H301" s="18">
        <f>VLOOKUP(B301,'CPF Table'!$A$13:$E$23,4,TRUE)*CPF!F301</f>
        <v>0</v>
      </c>
      <c r="I301" s="18">
        <f>VLOOKUP(B301,'CPF Table'!$A$13:$E$23,5,TRUE)*CPF!F301</f>
        <v>0</v>
      </c>
      <c r="J301" s="103">
        <f t="shared" si="8"/>
        <v>0</v>
      </c>
    </row>
    <row r="302" spans="3:10">
      <c r="C302" s="126">
        <v>0</v>
      </c>
      <c r="D302" s="127">
        <v>0</v>
      </c>
      <c r="E302" s="82">
        <f t="shared" si="9"/>
        <v>0</v>
      </c>
      <c r="F302" s="18">
        <f>IF(VLOOKUP(B302,'CPF Table'!$A$4:$G$8,5,TRUE)*CPF!C302&gt;=VLOOKUP(B302,'CPF Table'!$A$4:$G$8,6,TRUE),VLOOKUP(B302,'CPF Table'!$A$4:$G$8,5,TRUE)*C302+VLOOKUP(B302,'CPF Table'!$A$4:$G$8,5,TRUE)*CPF!D302,VLOOKUP(B302,'CPF Table'!$A$4:$G$8,5,TRUE)*CPF!C302+VLOOKUP(B302,'CPF Table'!$A$4:$G$8,5,TRUE)*CPF!D302)</f>
        <v>0</v>
      </c>
      <c r="G302" s="18">
        <f>VLOOKUP(B302,'CPF Table'!$A$13:$E$23,3,TRUE)*F302</f>
        <v>0</v>
      </c>
      <c r="H302" s="18">
        <f>VLOOKUP(B302,'CPF Table'!$A$13:$E$23,4,TRUE)*CPF!F302</f>
        <v>0</v>
      </c>
      <c r="I302" s="18">
        <f>VLOOKUP(B302,'CPF Table'!$A$13:$E$23,5,TRUE)*CPF!F302</f>
        <v>0</v>
      </c>
      <c r="J302" s="103">
        <f t="shared" si="8"/>
        <v>0</v>
      </c>
    </row>
    <row r="303" spans="3:10">
      <c r="C303" s="126">
        <v>0</v>
      </c>
      <c r="D303" s="127">
        <v>0</v>
      </c>
      <c r="E303" s="82">
        <f t="shared" si="9"/>
        <v>0</v>
      </c>
      <c r="F303" s="18">
        <f>IF(VLOOKUP(B303,'CPF Table'!$A$4:$G$8,5,TRUE)*CPF!C303&gt;=VLOOKUP(B303,'CPF Table'!$A$4:$G$8,6,TRUE),VLOOKUP(B303,'CPF Table'!$A$4:$G$8,5,TRUE)*C303+VLOOKUP(B303,'CPF Table'!$A$4:$G$8,5,TRUE)*CPF!D303,VLOOKUP(B303,'CPF Table'!$A$4:$G$8,5,TRUE)*CPF!C303+VLOOKUP(B303,'CPF Table'!$A$4:$G$8,5,TRUE)*CPF!D303)</f>
        <v>0</v>
      </c>
      <c r="G303" s="18">
        <f>VLOOKUP(B303,'CPF Table'!$A$13:$E$23,3,TRUE)*F303</f>
        <v>0</v>
      </c>
      <c r="H303" s="18">
        <f>VLOOKUP(B303,'CPF Table'!$A$13:$E$23,4,TRUE)*CPF!F303</f>
        <v>0</v>
      </c>
      <c r="I303" s="18">
        <f>VLOOKUP(B303,'CPF Table'!$A$13:$E$23,5,TRUE)*CPF!F303</f>
        <v>0</v>
      </c>
      <c r="J303" s="103">
        <f t="shared" si="8"/>
        <v>0</v>
      </c>
    </row>
    <row r="304" spans="3:10">
      <c r="C304" s="126">
        <v>0</v>
      </c>
      <c r="D304" s="127">
        <v>0</v>
      </c>
      <c r="E304" s="82">
        <f t="shared" si="9"/>
        <v>0</v>
      </c>
      <c r="F304" s="18">
        <f>IF(VLOOKUP(B304,'CPF Table'!$A$4:$G$8,5,TRUE)*CPF!C304&gt;=VLOOKUP(B304,'CPF Table'!$A$4:$G$8,6,TRUE),VLOOKUP(B304,'CPF Table'!$A$4:$G$8,5,TRUE)*C304+VLOOKUP(B304,'CPF Table'!$A$4:$G$8,5,TRUE)*CPF!D304,VLOOKUP(B304,'CPF Table'!$A$4:$G$8,5,TRUE)*CPF!C304+VLOOKUP(B304,'CPF Table'!$A$4:$G$8,5,TRUE)*CPF!D304)</f>
        <v>0</v>
      </c>
      <c r="G304" s="18">
        <f>VLOOKUP(B304,'CPF Table'!$A$13:$E$23,3,TRUE)*F304</f>
        <v>0</v>
      </c>
      <c r="H304" s="18">
        <f>VLOOKUP(B304,'CPF Table'!$A$13:$E$23,4,TRUE)*CPF!F304</f>
        <v>0</v>
      </c>
      <c r="I304" s="18">
        <f>VLOOKUP(B304,'CPF Table'!$A$13:$E$23,5,TRUE)*CPF!F304</f>
        <v>0</v>
      </c>
      <c r="J304" s="103">
        <f t="shared" si="8"/>
        <v>0</v>
      </c>
    </row>
    <row r="305" spans="3:10">
      <c r="C305" s="126">
        <v>0</v>
      </c>
      <c r="D305" s="127">
        <v>0</v>
      </c>
      <c r="E305" s="82">
        <f t="shared" si="9"/>
        <v>0</v>
      </c>
      <c r="F305" s="18">
        <f>IF(VLOOKUP(B305,'CPF Table'!$A$4:$G$8,5,TRUE)*CPF!C305&gt;=VLOOKUP(B305,'CPF Table'!$A$4:$G$8,6,TRUE),VLOOKUP(B305,'CPF Table'!$A$4:$G$8,5,TRUE)*C305+VLOOKUP(B305,'CPF Table'!$A$4:$G$8,5,TRUE)*CPF!D305,VLOOKUP(B305,'CPF Table'!$A$4:$G$8,5,TRUE)*CPF!C305+VLOOKUP(B305,'CPF Table'!$A$4:$G$8,5,TRUE)*CPF!D305)</f>
        <v>0</v>
      </c>
      <c r="G305" s="18">
        <f>VLOOKUP(B305,'CPF Table'!$A$13:$E$23,3,TRUE)*F305</f>
        <v>0</v>
      </c>
      <c r="H305" s="18">
        <f>VLOOKUP(B305,'CPF Table'!$A$13:$E$23,4,TRUE)*CPF!F305</f>
        <v>0</v>
      </c>
      <c r="I305" s="18">
        <f>VLOOKUP(B305,'CPF Table'!$A$13:$E$23,5,TRUE)*CPF!F305</f>
        <v>0</v>
      </c>
      <c r="J305" s="103">
        <f t="shared" si="8"/>
        <v>0</v>
      </c>
    </row>
    <row r="306" spans="3:10">
      <c r="C306" s="126">
        <v>0</v>
      </c>
      <c r="D306" s="127">
        <v>0</v>
      </c>
      <c r="E306" s="82">
        <f t="shared" si="9"/>
        <v>0</v>
      </c>
      <c r="F306" s="18">
        <f>IF(VLOOKUP(B306,'CPF Table'!$A$4:$G$8,5,TRUE)*CPF!C306&gt;=VLOOKUP(B306,'CPF Table'!$A$4:$G$8,6,TRUE),VLOOKUP(B306,'CPF Table'!$A$4:$G$8,5,TRUE)*C306+VLOOKUP(B306,'CPF Table'!$A$4:$G$8,5,TRUE)*CPF!D306,VLOOKUP(B306,'CPF Table'!$A$4:$G$8,5,TRUE)*CPF!C306+VLOOKUP(B306,'CPF Table'!$A$4:$G$8,5,TRUE)*CPF!D306)</f>
        <v>0</v>
      </c>
      <c r="G306" s="18">
        <f>VLOOKUP(B306,'CPF Table'!$A$13:$E$23,3,TRUE)*F306</f>
        <v>0</v>
      </c>
      <c r="H306" s="18">
        <f>VLOOKUP(B306,'CPF Table'!$A$13:$E$23,4,TRUE)*CPF!F306</f>
        <v>0</v>
      </c>
      <c r="I306" s="18">
        <f>VLOOKUP(B306,'CPF Table'!$A$13:$E$23,5,TRUE)*CPF!F306</f>
        <v>0</v>
      </c>
      <c r="J306" s="103">
        <f t="shared" si="8"/>
        <v>0</v>
      </c>
    </row>
    <row r="307" spans="3:10">
      <c r="C307" s="126">
        <v>0</v>
      </c>
      <c r="D307" s="127">
        <v>0</v>
      </c>
      <c r="E307" s="82">
        <f t="shared" si="9"/>
        <v>0</v>
      </c>
      <c r="F307" s="18">
        <f>IF(VLOOKUP(B307,'CPF Table'!$A$4:$G$8,5,TRUE)*CPF!C307&gt;=VLOOKUP(B307,'CPF Table'!$A$4:$G$8,6,TRUE),VLOOKUP(B307,'CPF Table'!$A$4:$G$8,5,TRUE)*C307+VLOOKUP(B307,'CPF Table'!$A$4:$G$8,5,TRUE)*CPF!D307,VLOOKUP(B307,'CPF Table'!$A$4:$G$8,5,TRUE)*CPF!C307+VLOOKUP(B307,'CPF Table'!$A$4:$G$8,5,TRUE)*CPF!D307)</f>
        <v>0</v>
      </c>
      <c r="G307" s="18">
        <f>VLOOKUP(B307,'CPF Table'!$A$13:$E$23,3,TRUE)*F307</f>
        <v>0</v>
      </c>
      <c r="H307" s="18">
        <f>VLOOKUP(B307,'CPF Table'!$A$13:$E$23,4,TRUE)*CPF!F307</f>
        <v>0</v>
      </c>
      <c r="I307" s="18">
        <f>VLOOKUP(B307,'CPF Table'!$A$13:$E$23,5,TRUE)*CPF!F307</f>
        <v>0</v>
      </c>
      <c r="J307" s="103">
        <f t="shared" si="8"/>
        <v>0</v>
      </c>
    </row>
    <row r="308" spans="3:10">
      <c r="C308" s="126">
        <v>0</v>
      </c>
      <c r="D308" s="127">
        <v>0</v>
      </c>
      <c r="E308" s="82">
        <f t="shared" si="9"/>
        <v>0</v>
      </c>
      <c r="F308" s="18">
        <f>IF(VLOOKUP(B308,'CPF Table'!$A$4:$G$8,5,TRUE)*CPF!C308&gt;=VLOOKUP(B308,'CPF Table'!$A$4:$G$8,6,TRUE),VLOOKUP(B308,'CPF Table'!$A$4:$G$8,5,TRUE)*C308+VLOOKUP(B308,'CPF Table'!$A$4:$G$8,5,TRUE)*CPF!D308,VLOOKUP(B308,'CPF Table'!$A$4:$G$8,5,TRUE)*CPF!C308+VLOOKUP(B308,'CPF Table'!$A$4:$G$8,5,TRUE)*CPF!D308)</f>
        <v>0</v>
      </c>
      <c r="G308" s="18">
        <f>VLOOKUP(B308,'CPF Table'!$A$13:$E$23,3,TRUE)*F308</f>
        <v>0</v>
      </c>
      <c r="H308" s="18">
        <f>VLOOKUP(B308,'CPF Table'!$A$13:$E$23,4,TRUE)*CPF!F308</f>
        <v>0</v>
      </c>
      <c r="I308" s="18">
        <f>VLOOKUP(B308,'CPF Table'!$A$13:$E$23,5,TRUE)*CPF!F308</f>
        <v>0</v>
      </c>
      <c r="J308" s="103">
        <f t="shared" si="8"/>
        <v>0</v>
      </c>
    </row>
    <row r="309" spans="3:10">
      <c r="C309" s="126">
        <v>0</v>
      </c>
      <c r="D309" s="127">
        <v>0</v>
      </c>
      <c r="E309" s="82">
        <f t="shared" si="9"/>
        <v>0</v>
      </c>
      <c r="F309" s="18">
        <f>IF(VLOOKUP(B309,'CPF Table'!$A$4:$G$8,5,TRUE)*CPF!C309&gt;=VLOOKUP(B309,'CPF Table'!$A$4:$G$8,6,TRUE),VLOOKUP(B309,'CPF Table'!$A$4:$G$8,5,TRUE)*C309+VLOOKUP(B309,'CPF Table'!$A$4:$G$8,5,TRUE)*CPF!D309,VLOOKUP(B309,'CPF Table'!$A$4:$G$8,5,TRUE)*CPF!C309+VLOOKUP(B309,'CPF Table'!$A$4:$G$8,5,TRUE)*CPF!D309)</f>
        <v>0</v>
      </c>
      <c r="G309" s="18">
        <f>VLOOKUP(B309,'CPF Table'!$A$13:$E$23,3,TRUE)*F309</f>
        <v>0</v>
      </c>
      <c r="H309" s="18">
        <f>VLOOKUP(B309,'CPF Table'!$A$13:$E$23,4,TRUE)*CPF!F309</f>
        <v>0</v>
      </c>
      <c r="I309" s="18">
        <f>VLOOKUP(B309,'CPF Table'!$A$13:$E$23,5,TRUE)*CPF!F309</f>
        <v>0</v>
      </c>
      <c r="J309" s="103">
        <f t="shared" si="8"/>
        <v>0</v>
      </c>
    </row>
    <row r="310" spans="3:10">
      <c r="C310" s="126">
        <v>0</v>
      </c>
      <c r="D310" s="127">
        <v>0</v>
      </c>
      <c r="E310" s="82">
        <f t="shared" si="9"/>
        <v>0</v>
      </c>
      <c r="F310" s="18">
        <f>IF(VLOOKUP(B310,'CPF Table'!$A$4:$G$8,5,TRUE)*CPF!C310&gt;=VLOOKUP(B310,'CPF Table'!$A$4:$G$8,6,TRUE),VLOOKUP(B310,'CPF Table'!$A$4:$G$8,5,TRUE)*C310+VLOOKUP(B310,'CPF Table'!$A$4:$G$8,5,TRUE)*CPF!D310,VLOOKUP(B310,'CPF Table'!$A$4:$G$8,5,TRUE)*CPF!C310+VLOOKUP(B310,'CPF Table'!$A$4:$G$8,5,TRUE)*CPF!D310)</f>
        <v>0</v>
      </c>
      <c r="G310" s="18">
        <f>VLOOKUP(B310,'CPF Table'!$A$13:$E$23,3,TRUE)*F310</f>
        <v>0</v>
      </c>
      <c r="H310" s="18">
        <f>VLOOKUP(B310,'CPF Table'!$A$13:$E$23,4,TRUE)*CPF!F310</f>
        <v>0</v>
      </c>
      <c r="I310" s="18">
        <f>VLOOKUP(B310,'CPF Table'!$A$13:$E$23,5,TRUE)*CPF!F310</f>
        <v>0</v>
      </c>
      <c r="J310" s="103">
        <f t="shared" si="8"/>
        <v>0</v>
      </c>
    </row>
    <row r="311" spans="3:10">
      <c r="C311" s="126">
        <v>0</v>
      </c>
      <c r="D311" s="127">
        <v>0</v>
      </c>
      <c r="E311" s="82">
        <f t="shared" si="9"/>
        <v>0</v>
      </c>
      <c r="F311" s="18">
        <f>IF(VLOOKUP(B311,'CPF Table'!$A$4:$G$8,5,TRUE)*CPF!C311&gt;=VLOOKUP(B311,'CPF Table'!$A$4:$G$8,6,TRUE),VLOOKUP(B311,'CPF Table'!$A$4:$G$8,5,TRUE)*C311+VLOOKUP(B311,'CPF Table'!$A$4:$G$8,5,TRUE)*CPF!D311,VLOOKUP(B311,'CPF Table'!$A$4:$G$8,5,TRUE)*CPF!C311+VLOOKUP(B311,'CPF Table'!$A$4:$G$8,5,TRUE)*CPF!D311)</f>
        <v>0</v>
      </c>
      <c r="G311" s="18">
        <f>VLOOKUP(B311,'CPF Table'!$A$13:$E$23,3,TRUE)*F311</f>
        <v>0</v>
      </c>
      <c r="H311" s="18">
        <f>VLOOKUP(B311,'CPF Table'!$A$13:$E$23,4,TRUE)*CPF!F311</f>
        <v>0</v>
      </c>
      <c r="I311" s="18">
        <f>VLOOKUP(B311,'CPF Table'!$A$13:$E$23,5,TRUE)*CPF!F311</f>
        <v>0</v>
      </c>
      <c r="J311" s="103">
        <f t="shared" si="8"/>
        <v>0</v>
      </c>
    </row>
    <row r="312" spans="3:10">
      <c r="C312" s="126">
        <v>0</v>
      </c>
      <c r="D312" s="127">
        <v>0</v>
      </c>
      <c r="E312" s="82">
        <f t="shared" si="9"/>
        <v>0</v>
      </c>
      <c r="F312" s="18">
        <f>IF(VLOOKUP(B312,'CPF Table'!$A$4:$G$8,5,TRUE)*CPF!C312&gt;=VLOOKUP(B312,'CPF Table'!$A$4:$G$8,6,TRUE),VLOOKUP(B312,'CPF Table'!$A$4:$G$8,5,TRUE)*C312+VLOOKUP(B312,'CPF Table'!$A$4:$G$8,5,TRUE)*CPF!D312,VLOOKUP(B312,'CPF Table'!$A$4:$G$8,5,TRUE)*CPF!C312+VLOOKUP(B312,'CPF Table'!$A$4:$G$8,5,TRUE)*CPF!D312)</f>
        <v>0</v>
      </c>
      <c r="G312" s="18">
        <f>VLOOKUP(B312,'CPF Table'!$A$13:$E$23,3,TRUE)*F312</f>
        <v>0</v>
      </c>
      <c r="H312" s="18">
        <f>VLOOKUP(B312,'CPF Table'!$A$13:$E$23,4,TRUE)*CPF!F312</f>
        <v>0</v>
      </c>
      <c r="I312" s="18">
        <f>VLOOKUP(B312,'CPF Table'!$A$13:$E$23,5,TRUE)*CPF!F312</f>
        <v>0</v>
      </c>
      <c r="J312" s="103">
        <f t="shared" si="8"/>
        <v>0</v>
      </c>
    </row>
    <row r="313" spans="3:10">
      <c r="C313" s="126">
        <v>0</v>
      </c>
      <c r="D313" s="127">
        <v>0</v>
      </c>
      <c r="E313" s="82">
        <f t="shared" si="9"/>
        <v>0</v>
      </c>
      <c r="F313" s="18">
        <f>IF(VLOOKUP(B313,'CPF Table'!$A$4:$G$8,5,TRUE)*CPF!C313&gt;=VLOOKUP(B313,'CPF Table'!$A$4:$G$8,6,TRUE),VLOOKUP(B313,'CPF Table'!$A$4:$G$8,5,TRUE)*C313+VLOOKUP(B313,'CPF Table'!$A$4:$G$8,5,TRUE)*CPF!D313,VLOOKUP(B313,'CPF Table'!$A$4:$G$8,5,TRUE)*CPF!C313+VLOOKUP(B313,'CPF Table'!$A$4:$G$8,5,TRUE)*CPF!D313)</f>
        <v>0</v>
      </c>
      <c r="G313" s="18">
        <f>VLOOKUP(B313,'CPF Table'!$A$13:$E$23,3,TRUE)*F313</f>
        <v>0</v>
      </c>
      <c r="H313" s="18">
        <f>VLOOKUP(B313,'CPF Table'!$A$13:$E$23,4,TRUE)*CPF!F313</f>
        <v>0</v>
      </c>
      <c r="I313" s="18">
        <f>VLOOKUP(B313,'CPF Table'!$A$13:$E$23,5,TRUE)*CPF!F313</f>
        <v>0</v>
      </c>
      <c r="J313" s="103">
        <f t="shared" si="8"/>
        <v>0</v>
      </c>
    </row>
    <row r="314" spans="3:10">
      <c r="C314" s="126">
        <v>0</v>
      </c>
      <c r="D314" s="127">
        <v>0</v>
      </c>
      <c r="E314" s="82">
        <f t="shared" si="9"/>
        <v>0</v>
      </c>
      <c r="F314" s="18">
        <f>IF(VLOOKUP(B314,'CPF Table'!$A$4:$G$8,5,TRUE)*CPF!C314&gt;=VLOOKUP(B314,'CPF Table'!$A$4:$G$8,6,TRUE),VLOOKUP(B314,'CPF Table'!$A$4:$G$8,5,TRUE)*C314+VLOOKUP(B314,'CPF Table'!$A$4:$G$8,5,TRUE)*CPF!D314,VLOOKUP(B314,'CPF Table'!$A$4:$G$8,5,TRUE)*CPF!C314+VLOOKUP(B314,'CPF Table'!$A$4:$G$8,5,TRUE)*CPF!D314)</f>
        <v>0</v>
      </c>
      <c r="G314" s="18">
        <f>VLOOKUP(B314,'CPF Table'!$A$13:$E$23,3,TRUE)*F314</f>
        <v>0</v>
      </c>
      <c r="H314" s="18">
        <f>VLOOKUP(B314,'CPF Table'!$A$13:$E$23,4,TRUE)*CPF!F314</f>
        <v>0</v>
      </c>
      <c r="I314" s="18">
        <f>VLOOKUP(B314,'CPF Table'!$A$13:$E$23,5,TRUE)*CPF!F314</f>
        <v>0</v>
      </c>
      <c r="J314" s="103">
        <f t="shared" si="8"/>
        <v>0</v>
      </c>
    </row>
    <row r="315" spans="3:10">
      <c r="C315" s="126">
        <v>0</v>
      </c>
      <c r="D315" s="127">
        <v>0</v>
      </c>
      <c r="E315" s="82">
        <f t="shared" si="9"/>
        <v>0</v>
      </c>
      <c r="F315" s="18">
        <f>IF(VLOOKUP(B315,'CPF Table'!$A$4:$G$8,5,TRUE)*CPF!C315&gt;=VLOOKUP(B315,'CPF Table'!$A$4:$G$8,6,TRUE),VLOOKUP(B315,'CPF Table'!$A$4:$G$8,5,TRUE)*C315+VLOOKUP(B315,'CPF Table'!$A$4:$G$8,5,TRUE)*CPF!D315,VLOOKUP(B315,'CPF Table'!$A$4:$G$8,5,TRUE)*CPF!C315+VLOOKUP(B315,'CPF Table'!$A$4:$G$8,5,TRUE)*CPF!D315)</f>
        <v>0</v>
      </c>
      <c r="G315" s="18">
        <f>VLOOKUP(B315,'CPF Table'!$A$13:$E$23,3,TRUE)*F315</f>
        <v>0</v>
      </c>
      <c r="H315" s="18">
        <f>VLOOKUP(B315,'CPF Table'!$A$13:$E$23,4,TRUE)*CPF!F315</f>
        <v>0</v>
      </c>
      <c r="I315" s="18">
        <f>VLOOKUP(B315,'CPF Table'!$A$13:$E$23,5,TRUE)*CPF!F315</f>
        <v>0</v>
      </c>
      <c r="J315" s="103">
        <f t="shared" si="8"/>
        <v>0</v>
      </c>
    </row>
    <row r="316" spans="3:10">
      <c r="C316" s="126">
        <v>0</v>
      </c>
      <c r="D316" s="127">
        <v>0</v>
      </c>
      <c r="E316" s="82">
        <f t="shared" si="9"/>
        <v>0</v>
      </c>
      <c r="F316" s="18">
        <f>IF(VLOOKUP(B316,'CPF Table'!$A$4:$G$8,5,TRUE)*CPF!C316&gt;=VLOOKUP(B316,'CPF Table'!$A$4:$G$8,6,TRUE),VLOOKUP(B316,'CPF Table'!$A$4:$G$8,5,TRUE)*C316+VLOOKUP(B316,'CPF Table'!$A$4:$G$8,5,TRUE)*CPF!D316,VLOOKUP(B316,'CPF Table'!$A$4:$G$8,5,TRUE)*CPF!C316+VLOOKUP(B316,'CPF Table'!$A$4:$G$8,5,TRUE)*CPF!D316)</f>
        <v>0</v>
      </c>
      <c r="G316" s="18">
        <f>VLOOKUP(B316,'CPF Table'!$A$13:$E$23,3,TRUE)*F316</f>
        <v>0</v>
      </c>
      <c r="H316" s="18">
        <f>VLOOKUP(B316,'CPF Table'!$A$13:$E$23,4,TRUE)*CPF!F316</f>
        <v>0</v>
      </c>
      <c r="I316" s="18">
        <f>VLOOKUP(B316,'CPF Table'!$A$13:$E$23,5,TRUE)*CPF!F316</f>
        <v>0</v>
      </c>
      <c r="J316" s="103">
        <f t="shared" si="8"/>
        <v>0</v>
      </c>
    </row>
    <row r="317" spans="3:10">
      <c r="C317" s="126">
        <v>0</v>
      </c>
      <c r="D317" s="127">
        <v>0</v>
      </c>
      <c r="E317" s="82">
        <f t="shared" si="9"/>
        <v>0</v>
      </c>
      <c r="F317" s="18">
        <f>IF(VLOOKUP(B317,'CPF Table'!$A$4:$G$8,5,TRUE)*CPF!C317&gt;=VLOOKUP(B317,'CPF Table'!$A$4:$G$8,6,TRUE),VLOOKUP(B317,'CPF Table'!$A$4:$G$8,5,TRUE)*C317+VLOOKUP(B317,'CPF Table'!$A$4:$G$8,5,TRUE)*CPF!D317,VLOOKUP(B317,'CPF Table'!$A$4:$G$8,5,TRUE)*CPF!C317+VLOOKUP(B317,'CPF Table'!$A$4:$G$8,5,TRUE)*CPF!D317)</f>
        <v>0</v>
      </c>
      <c r="G317" s="18">
        <f>VLOOKUP(B317,'CPF Table'!$A$13:$E$23,3,TRUE)*F317</f>
        <v>0</v>
      </c>
      <c r="H317" s="18">
        <f>VLOOKUP(B317,'CPF Table'!$A$13:$E$23,4,TRUE)*CPF!F317</f>
        <v>0</v>
      </c>
      <c r="I317" s="18">
        <f>VLOOKUP(B317,'CPF Table'!$A$13:$E$23,5,TRUE)*CPF!F317</f>
        <v>0</v>
      </c>
      <c r="J317" s="103">
        <f t="shared" si="8"/>
        <v>0</v>
      </c>
    </row>
    <row r="318" spans="3:10">
      <c r="C318" s="126">
        <v>0</v>
      </c>
      <c r="D318" s="127">
        <v>0</v>
      </c>
      <c r="E318" s="82">
        <f t="shared" si="9"/>
        <v>0</v>
      </c>
      <c r="F318" s="18">
        <f>IF(VLOOKUP(B318,'CPF Table'!$A$4:$G$8,5,TRUE)*CPF!C318&gt;=VLOOKUP(B318,'CPF Table'!$A$4:$G$8,6,TRUE),VLOOKUP(B318,'CPF Table'!$A$4:$G$8,5,TRUE)*C318+VLOOKUP(B318,'CPF Table'!$A$4:$G$8,5,TRUE)*CPF!D318,VLOOKUP(B318,'CPF Table'!$A$4:$G$8,5,TRUE)*CPF!C318+VLOOKUP(B318,'CPF Table'!$A$4:$G$8,5,TRUE)*CPF!D318)</f>
        <v>0</v>
      </c>
      <c r="G318" s="18">
        <f>VLOOKUP(B318,'CPF Table'!$A$13:$E$23,3,TRUE)*F318</f>
        <v>0</v>
      </c>
      <c r="H318" s="18">
        <f>VLOOKUP(B318,'CPF Table'!$A$13:$E$23,4,TRUE)*CPF!F318</f>
        <v>0</v>
      </c>
      <c r="I318" s="18">
        <f>VLOOKUP(B318,'CPF Table'!$A$13:$E$23,5,TRUE)*CPF!F318</f>
        <v>0</v>
      </c>
      <c r="J318" s="103">
        <f t="shared" si="8"/>
        <v>0</v>
      </c>
    </row>
    <row r="319" spans="3:10">
      <c r="C319" s="126">
        <v>0</v>
      </c>
      <c r="D319" s="127">
        <v>0</v>
      </c>
      <c r="E319" s="82">
        <f t="shared" si="9"/>
        <v>0</v>
      </c>
      <c r="F319" s="18">
        <f>IF(VLOOKUP(B319,'CPF Table'!$A$4:$G$8,5,TRUE)*CPF!C319&gt;=VLOOKUP(B319,'CPF Table'!$A$4:$G$8,6,TRUE),VLOOKUP(B319,'CPF Table'!$A$4:$G$8,5,TRUE)*C319+VLOOKUP(B319,'CPF Table'!$A$4:$G$8,5,TRUE)*CPF!D319,VLOOKUP(B319,'CPF Table'!$A$4:$G$8,5,TRUE)*CPF!C319+VLOOKUP(B319,'CPF Table'!$A$4:$G$8,5,TRUE)*CPF!D319)</f>
        <v>0</v>
      </c>
      <c r="G319" s="18">
        <f>VLOOKUP(B319,'CPF Table'!$A$13:$E$23,3,TRUE)*F319</f>
        <v>0</v>
      </c>
      <c r="H319" s="18">
        <f>VLOOKUP(B319,'CPF Table'!$A$13:$E$23,4,TRUE)*CPF!F319</f>
        <v>0</v>
      </c>
      <c r="I319" s="18">
        <f>VLOOKUP(B319,'CPF Table'!$A$13:$E$23,5,TRUE)*CPF!F319</f>
        <v>0</v>
      </c>
      <c r="J319" s="103">
        <f t="shared" si="8"/>
        <v>0</v>
      </c>
    </row>
    <row r="320" spans="3:10">
      <c r="C320" s="126">
        <v>0</v>
      </c>
      <c r="D320" s="127">
        <v>0</v>
      </c>
      <c r="E320" s="82">
        <f t="shared" si="9"/>
        <v>0</v>
      </c>
      <c r="F320" s="18">
        <f>IF(VLOOKUP(B320,'CPF Table'!$A$4:$G$8,5,TRUE)*CPF!C320&gt;=VLOOKUP(B320,'CPF Table'!$A$4:$G$8,6,TRUE),VLOOKUP(B320,'CPF Table'!$A$4:$G$8,5,TRUE)*C320+VLOOKUP(B320,'CPF Table'!$A$4:$G$8,5,TRUE)*CPF!D320,VLOOKUP(B320,'CPF Table'!$A$4:$G$8,5,TRUE)*CPF!C320+VLOOKUP(B320,'CPF Table'!$A$4:$G$8,5,TRUE)*CPF!D320)</f>
        <v>0</v>
      </c>
      <c r="G320" s="18">
        <f>VLOOKUP(B320,'CPF Table'!$A$13:$E$23,3,TRUE)*F320</f>
        <v>0</v>
      </c>
      <c r="H320" s="18">
        <f>VLOOKUP(B320,'CPF Table'!$A$13:$E$23,4,TRUE)*CPF!F320</f>
        <v>0</v>
      </c>
      <c r="I320" s="18">
        <f>VLOOKUP(B320,'CPF Table'!$A$13:$E$23,5,TRUE)*CPF!F320</f>
        <v>0</v>
      </c>
      <c r="J320" s="103">
        <f t="shared" si="8"/>
        <v>0</v>
      </c>
    </row>
    <row r="321" spans="3:10">
      <c r="C321" s="126">
        <v>0</v>
      </c>
      <c r="D321" s="127">
        <v>0</v>
      </c>
      <c r="E321" s="82">
        <f t="shared" si="9"/>
        <v>0</v>
      </c>
      <c r="F321" s="18">
        <f>IF(VLOOKUP(B321,'CPF Table'!$A$4:$G$8,5,TRUE)*CPF!C321&gt;=VLOOKUP(B321,'CPF Table'!$A$4:$G$8,6,TRUE),VLOOKUP(B321,'CPF Table'!$A$4:$G$8,5,TRUE)*C321+VLOOKUP(B321,'CPF Table'!$A$4:$G$8,5,TRUE)*CPF!D321,VLOOKUP(B321,'CPF Table'!$A$4:$G$8,5,TRUE)*CPF!C321+VLOOKUP(B321,'CPF Table'!$A$4:$G$8,5,TRUE)*CPF!D321)</f>
        <v>0</v>
      </c>
      <c r="G321" s="18">
        <f>VLOOKUP(B321,'CPF Table'!$A$13:$E$23,3,TRUE)*F321</f>
        <v>0</v>
      </c>
      <c r="H321" s="18">
        <f>VLOOKUP(B321,'CPF Table'!$A$13:$E$23,4,TRUE)*CPF!F321</f>
        <v>0</v>
      </c>
      <c r="I321" s="18">
        <f>VLOOKUP(B321,'CPF Table'!$A$13:$E$23,5,TRUE)*CPF!F321</f>
        <v>0</v>
      </c>
      <c r="J321" s="103">
        <f t="shared" si="8"/>
        <v>0</v>
      </c>
    </row>
    <row r="322" spans="3:10">
      <c r="C322" s="126">
        <v>0</v>
      </c>
      <c r="D322" s="127">
        <v>0</v>
      </c>
      <c r="E322" s="82">
        <f t="shared" si="9"/>
        <v>0</v>
      </c>
      <c r="F322" s="18">
        <f>IF(VLOOKUP(B322,'CPF Table'!$A$4:$G$8,5,TRUE)*CPF!C322&gt;=VLOOKUP(B322,'CPF Table'!$A$4:$G$8,6,TRUE),VLOOKUP(B322,'CPF Table'!$A$4:$G$8,5,TRUE)*C322+VLOOKUP(B322,'CPF Table'!$A$4:$G$8,5,TRUE)*CPF!D322,VLOOKUP(B322,'CPF Table'!$A$4:$G$8,5,TRUE)*CPF!C322+VLOOKUP(B322,'CPF Table'!$A$4:$G$8,5,TRUE)*CPF!D322)</f>
        <v>0</v>
      </c>
      <c r="G322" s="18">
        <f>VLOOKUP(B322,'CPF Table'!$A$13:$E$23,3,TRUE)*F322</f>
        <v>0</v>
      </c>
      <c r="H322" s="18">
        <f>VLOOKUP(B322,'CPF Table'!$A$13:$E$23,4,TRUE)*CPF!F322</f>
        <v>0</v>
      </c>
      <c r="I322" s="18">
        <f>VLOOKUP(B322,'CPF Table'!$A$13:$E$23,5,TRUE)*CPF!F322</f>
        <v>0</v>
      </c>
      <c r="J322" s="103">
        <f t="shared" si="8"/>
        <v>0</v>
      </c>
    </row>
    <row r="323" spans="3:10">
      <c r="C323" s="126">
        <v>0</v>
      </c>
      <c r="D323" s="127">
        <v>0</v>
      </c>
      <c r="E323" s="82">
        <f t="shared" si="9"/>
        <v>0</v>
      </c>
      <c r="F323" s="18">
        <f>IF(VLOOKUP(B323,'CPF Table'!$A$4:$G$8,5,TRUE)*CPF!C323&gt;=VLOOKUP(B323,'CPF Table'!$A$4:$G$8,6,TRUE),VLOOKUP(B323,'CPF Table'!$A$4:$G$8,5,TRUE)*C323+VLOOKUP(B323,'CPF Table'!$A$4:$G$8,5,TRUE)*CPF!D323,VLOOKUP(B323,'CPF Table'!$A$4:$G$8,5,TRUE)*CPF!C323+VLOOKUP(B323,'CPF Table'!$A$4:$G$8,5,TRUE)*CPF!D323)</f>
        <v>0</v>
      </c>
      <c r="G323" s="18">
        <f>VLOOKUP(B323,'CPF Table'!$A$13:$E$23,3,TRUE)*F323</f>
        <v>0</v>
      </c>
      <c r="H323" s="18">
        <f>VLOOKUP(B323,'CPF Table'!$A$13:$E$23,4,TRUE)*CPF!F323</f>
        <v>0</v>
      </c>
      <c r="I323" s="18">
        <f>VLOOKUP(B323,'CPF Table'!$A$13:$E$23,5,TRUE)*CPF!F323</f>
        <v>0</v>
      </c>
      <c r="J323" s="103">
        <f t="shared" si="8"/>
        <v>0</v>
      </c>
    </row>
    <row r="324" spans="3:10">
      <c r="C324" s="126">
        <v>0</v>
      </c>
      <c r="D324" s="127">
        <v>0</v>
      </c>
      <c r="E324" s="82">
        <f t="shared" si="9"/>
        <v>0</v>
      </c>
      <c r="F324" s="18">
        <f>IF(VLOOKUP(B324,'CPF Table'!$A$4:$G$8,5,TRUE)*CPF!C324&gt;=VLOOKUP(B324,'CPF Table'!$A$4:$G$8,6,TRUE),VLOOKUP(B324,'CPF Table'!$A$4:$G$8,5,TRUE)*C324+VLOOKUP(B324,'CPF Table'!$A$4:$G$8,5,TRUE)*CPF!D324,VLOOKUP(B324,'CPF Table'!$A$4:$G$8,5,TRUE)*CPF!C324+VLOOKUP(B324,'CPF Table'!$A$4:$G$8,5,TRUE)*CPF!D324)</f>
        <v>0</v>
      </c>
      <c r="G324" s="18">
        <f>VLOOKUP(B324,'CPF Table'!$A$13:$E$23,3,TRUE)*F324</f>
        <v>0</v>
      </c>
      <c r="H324" s="18">
        <f>VLOOKUP(B324,'CPF Table'!$A$13:$E$23,4,TRUE)*CPF!F324</f>
        <v>0</v>
      </c>
      <c r="I324" s="18">
        <f>VLOOKUP(B324,'CPF Table'!$A$13:$E$23,5,TRUE)*CPF!F324</f>
        <v>0</v>
      </c>
      <c r="J324" s="103">
        <f t="shared" si="8"/>
        <v>0</v>
      </c>
    </row>
    <row r="325" spans="3:10">
      <c r="C325" s="126">
        <v>0</v>
      </c>
      <c r="D325" s="127">
        <v>0</v>
      </c>
      <c r="E325" s="82">
        <f t="shared" si="9"/>
        <v>0</v>
      </c>
      <c r="F325" s="18">
        <f>IF(VLOOKUP(B325,'CPF Table'!$A$4:$G$8,5,TRUE)*CPF!C325&gt;=VLOOKUP(B325,'CPF Table'!$A$4:$G$8,6,TRUE),VLOOKUP(B325,'CPF Table'!$A$4:$G$8,5,TRUE)*C325+VLOOKUP(B325,'CPF Table'!$A$4:$G$8,5,TRUE)*CPF!D325,VLOOKUP(B325,'CPF Table'!$A$4:$G$8,5,TRUE)*CPF!C325+VLOOKUP(B325,'CPF Table'!$A$4:$G$8,5,TRUE)*CPF!D325)</f>
        <v>0</v>
      </c>
      <c r="G325" s="18">
        <f>VLOOKUP(B325,'CPF Table'!$A$13:$E$23,3,TRUE)*F325</f>
        <v>0</v>
      </c>
      <c r="H325" s="18">
        <f>VLOOKUP(B325,'CPF Table'!$A$13:$E$23,4,TRUE)*CPF!F325</f>
        <v>0</v>
      </c>
      <c r="I325" s="18">
        <f>VLOOKUP(B325,'CPF Table'!$A$13:$E$23,5,TRUE)*CPF!F325</f>
        <v>0</v>
      </c>
      <c r="J325" s="103">
        <f t="shared" si="8"/>
        <v>0</v>
      </c>
    </row>
    <row r="326" spans="3:10">
      <c r="C326" s="126">
        <v>0</v>
      </c>
      <c r="D326" s="127">
        <v>0</v>
      </c>
      <c r="E326" s="82">
        <f t="shared" si="9"/>
        <v>0</v>
      </c>
      <c r="F326" s="18">
        <f>IF(VLOOKUP(B326,'CPF Table'!$A$4:$G$8,5,TRUE)*CPF!C326&gt;=VLOOKUP(B326,'CPF Table'!$A$4:$G$8,6,TRUE),VLOOKUP(B326,'CPF Table'!$A$4:$G$8,5,TRUE)*C326+VLOOKUP(B326,'CPF Table'!$A$4:$G$8,5,TRUE)*CPF!D326,VLOOKUP(B326,'CPF Table'!$A$4:$G$8,5,TRUE)*CPF!C326+VLOOKUP(B326,'CPF Table'!$A$4:$G$8,5,TRUE)*CPF!D326)</f>
        <v>0</v>
      </c>
      <c r="G326" s="18">
        <f>VLOOKUP(B326,'CPF Table'!$A$13:$E$23,3,TRUE)*F326</f>
        <v>0</v>
      </c>
      <c r="H326" s="18">
        <f>VLOOKUP(B326,'CPF Table'!$A$13:$E$23,4,TRUE)*CPF!F326</f>
        <v>0</v>
      </c>
      <c r="I326" s="18">
        <f>VLOOKUP(B326,'CPF Table'!$A$13:$E$23,5,TRUE)*CPF!F326</f>
        <v>0</v>
      </c>
      <c r="J326" s="103">
        <f t="shared" si="8"/>
        <v>0</v>
      </c>
    </row>
    <row r="327" spans="3:10">
      <c r="C327" s="126">
        <v>0</v>
      </c>
      <c r="D327" s="127">
        <v>0</v>
      </c>
      <c r="E327" s="82">
        <f t="shared" si="9"/>
        <v>0</v>
      </c>
      <c r="F327" s="18">
        <f>IF(VLOOKUP(B327,'CPF Table'!$A$4:$G$8,5,TRUE)*CPF!C327&gt;=VLOOKUP(B327,'CPF Table'!$A$4:$G$8,6,TRUE),VLOOKUP(B327,'CPF Table'!$A$4:$G$8,5,TRUE)*C327+VLOOKUP(B327,'CPF Table'!$A$4:$G$8,5,TRUE)*CPF!D327,VLOOKUP(B327,'CPF Table'!$A$4:$G$8,5,TRUE)*CPF!C327+VLOOKUP(B327,'CPF Table'!$A$4:$G$8,5,TRUE)*CPF!D327)</f>
        <v>0</v>
      </c>
      <c r="G327" s="18">
        <f>VLOOKUP(B327,'CPF Table'!$A$13:$E$23,3,TRUE)*F327</f>
        <v>0</v>
      </c>
      <c r="H327" s="18">
        <f>VLOOKUP(B327,'CPF Table'!$A$13:$E$23,4,TRUE)*CPF!F327</f>
        <v>0</v>
      </c>
      <c r="I327" s="18">
        <f>VLOOKUP(B327,'CPF Table'!$A$13:$E$23,5,TRUE)*CPF!F327</f>
        <v>0</v>
      </c>
      <c r="J327" s="103">
        <f t="shared" si="8"/>
        <v>0</v>
      </c>
    </row>
    <row r="328" spans="3:10">
      <c r="C328" s="126">
        <v>0</v>
      </c>
      <c r="D328" s="127">
        <v>0</v>
      </c>
      <c r="E328" s="82">
        <f t="shared" si="9"/>
        <v>0</v>
      </c>
      <c r="F328" s="18">
        <f>IF(VLOOKUP(B328,'CPF Table'!$A$4:$G$8,5,TRUE)*CPF!C328&gt;=VLOOKUP(B328,'CPF Table'!$A$4:$G$8,6,TRUE),VLOOKUP(B328,'CPF Table'!$A$4:$G$8,5,TRUE)*C328+VLOOKUP(B328,'CPF Table'!$A$4:$G$8,5,TRUE)*CPF!D328,VLOOKUP(B328,'CPF Table'!$A$4:$G$8,5,TRUE)*CPF!C328+VLOOKUP(B328,'CPF Table'!$A$4:$G$8,5,TRUE)*CPF!D328)</f>
        <v>0</v>
      </c>
      <c r="G328" s="18">
        <f>VLOOKUP(B328,'CPF Table'!$A$13:$E$23,3,TRUE)*F328</f>
        <v>0</v>
      </c>
      <c r="H328" s="18">
        <f>VLOOKUP(B328,'CPF Table'!$A$13:$E$23,4,TRUE)*CPF!F328</f>
        <v>0</v>
      </c>
      <c r="I328" s="18">
        <f>VLOOKUP(B328,'CPF Table'!$A$13:$E$23,5,TRUE)*CPF!F328</f>
        <v>0</v>
      </c>
      <c r="J328" s="103">
        <f t="shared" si="8"/>
        <v>0</v>
      </c>
    </row>
    <row r="329" spans="3:10">
      <c r="C329" s="126">
        <v>0</v>
      </c>
      <c r="D329" s="127">
        <v>0</v>
      </c>
      <c r="E329" s="82">
        <f t="shared" si="9"/>
        <v>0</v>
      </c>
      <c r="F329" s="18">
        <f>IF(VLOOKUP(B329,'CPF Table'!$A$4:$G$8,5,TRUE)*CPF!C329&gt;=VLOOKUP(B329,'CPF Table'!$A$4:$G$8,6,TRUE),VLOOKUP(B329,'CPF Table'!$A$4:$G$8,5,TRUE)*C329+VLOOKUP(B329,'CPF Table'!$A$4:$G$8,5,TRUE)*CPF!D329,VLOOKUP(B329,'CPF Table'!$A$4:$G$8,5,TRUE)*CPF!C329+VLOOKUP(B329,'CPF Table'!$A$4:$G$8,5,TRUE)*CPF!D329)</f>
        <v>0</v>
      </c>
      <c r="G329" s="18">
        <f>VLOOKUP(B329,'CPF Table'!$A$13:$E$23,3,TRUE)*F329</f>
        <v>0</v>
      </c>
      <c r="H329" s="18">
        <f>VLOOKUP(B329,'CPF Table'!$A$13:$E$23,4,TRUE)*CPF!F329</f>
        <v>0</v>
      </c>
      <c r="I329" s="18">
        <f>VLOOKUP(B329,'CPF Table'!$A$13:$E$23,5,TRUE)*CPF!F329</f>
        <v>0</v>
      </c>
      <c r="J329" s="103">
        <f t="shared" si="8"/>
        <v>0</v>
      </c>
    </row>
    <row r="330" spans="3:10">
      <c r="C330" s="126">
        <v>0</v>
      </c>
      <c r="D330" s="127">
        <v>0</v>
      </c>
      <c r="E330" s="82">
        <f t="shared" si="9"/>
        <v>0</v>
      </c>
      <c r="F330" s="18">
        <f>IF(VLOOKUP(B330,'CPF Table'!$A$4:$G$8,5,TRUE)*CPF!C330&gt;=VLOOKUP(B330,'CPF Table'!$A$4:$G$8,6,TRUE),VLOOKUP(B330,'CPF Table'!$A$4:$G$8,5,TRUE)*C330+VLOOKUP(B330,'CPF Table'!$A$4:$G$8,5,TRUE)*CPF!D330,VLOOKUP(B330,'CPF Table'!$A$4:$G$8,5,TRUE)*CPF!C330+VLOOKUP(B330,'CPF Table'!$A$4:$G$8,5,TRUE)*CPF!D330)</f>
        <v>0</v>
      </c>
      <c r="G330" s="18">
        <f>VLOOKUP(B330,'CPF Table'!$A$13:$E$23,3,TRUE)*F330</f>
        <v>0</v>
      </c>
      <c r="H330" s="18">
        <f>VLOOKUP(B330,'CPF Table'!$A$13:$E$23,4,TRUE)*CPF!F330</f>
        <v>0</v>
      </c>
      <c r="I330" s="18">
        <f>VLOOKUP(B330,'CPF Table'!$A$13:$E$23,5,TRUE)*CPF!F330</f>
        <v>0</v>
      </c>
      <c r="J330" s="103">
        <f t="shared" si="8"/>
        <v>0</v>
      </c>
    </row>
    <row r="331" spans="3:10">
      <c r="C331" s="126">
        <v>0</v>
      </c>
      <c r="D331" s="127">
        <v>0</v>
      </c>
      <c r="E331" s="82">
        <f t="shared" si="9"/>
        <v>0</v>
      </c>
      <c r="F331" s="18">
        <f>IF(VLOOKUP(B331,'CPF Table'!$A$4:$G$8,5,TRUE)*CPF!C331&gt;=VLOOKUP(B331,'CPF Table'!$A$4:$G$8,6,TRUE),VLOOKUP(B331,'CPF Table'!$A$4:$G$8,5,TRUE)*C331+VLOOKUP(B331,'CPF Table'!$A$4:$G$8,5,TRUE)*CPF!D331,VLOOKUP(B331,'CPF Table'!$A$4:$G$8,5,TRUE)*CPF!C331+VLOOKUP(B331,'CPF Table'!$A$4:$G$8,5,TRUE)*CPF!D331)</f>
        <v>0</v>
      </c>
      <c r="G331" s="18">
        <f>VLOOKUP(B331,'CPF Table'!$A$13:$E$23,3,TRUE)*F331</f>
        <v>0</v>
      </c>
      <c r="H331" s="18">
        <f>VLOOKUP(B331,'CPF Table'!$A$13:$E$23,4,TRUE)*CPF!F331</f>
        <v>0</v>
      </c>
      <c r="I331" s="18">
        <f>VLOOKUP(B331,'CPF Table'!$A$13:$E$23,5,TRUE)*CPF!F331</f>
        <v>0</v>
      </c>
      <c r="J331" s="103">
        <f t="shared" si="8"/>
        <v>0</v>
      </c>
    </row>
    <row r="332" spans="3:10">
      <c r="C332" s="126">
        <v>0</v>
      </c>
      <c r="D332" s="127">
        <v>0</v>
      </c>
      <c r="E332" s="82">
        <f t="shared" si="9"/>
        <v>0</v>
      </c>
      <c r="F332" s="18">
        <f>IF(VLOOKUP(B332,'CPF Table'!$A$4:$G$8,5,TRUE)*CPF!C332&gt;=VLOOKUP(B332,'CPF Table'!$A$4:$G$8,6,TRUE),VLOOKUP(B332,'CPF Table'!$A$4:$G$8,5,TRUE)*C332+VLOOKUP(B332,'CPF Table'!$A$4:$G$8,5,TRUE)*CPF!D332,VLOOKUP(B332,'CPF Table'!$A$4:$G$8,5,TRUE)*CPF!C332+VLOOKUP(B332,'CPF Table'!$A$4:$G$8,5,TRUE)*CPF!D332)</f>
        <v>0</v>
      </c>
      <c r="G332" s="18">
        <f>VLOOKUP(B332,'CPF Table'!$A$13:$E$23,3,TRUE)*F332</f>
        <v>0</v>
      </c>
      <c r="H332" s="18">
        <f>VLOOKUP(B332,'CPF Table'!$A$13:$E$23,4,TRUE)*CPF!F332</f>
        <v>0</v>
      </c>
      <c r="I332" s="18">
        <f>VLOOKUP(B332,'CPF Table'!$A$13:$E$23,5,TRUE)*CPF!F332</f>
        <v>0</v>
      </c>
      <c r="J332" s="103">
        <f t="shared" si="8"/>
        <v>0</v>
      </c>
    </row>
    <row r="333" spans="3:10">
      <c r="C333" s="126">
        <v>0</v>
      </c>
      <c r="D333" s="127">
        <v>0</v>
      </c>
      <c r="E333" s="82">
        <f t="shared" si="9"/>
        <v>0</v>
      </c>
      <c r="F333" s="18">
        <f>IF(VLOOKUP(B333,'CPF Table'!$A$4:$G$8,5,TRUE)*CPF!C333&gt;=VLOOKUP(B333,'CPF Table'!$A$4:$G$8,6,TRUE),VLOOKUP(B333,'CPF Table'!$A$4:$G$8,5,TRUE)*C333+VLOOKUP(B333,'CPF Table'!$A$4:$G$8,5,TRUE)*CPF!D333,VLOOKUP(B333,'CPF Table'!$A$4:$G$8,5,TRUE)*CPF!C333+VLOOKUP(B333,'CPF Table'!$A$4:$G$8,5,TRUE)*CPF!D333)</f>
        <v>0</v>
      </c>
      <c r="G333" s="18">
        <f>VLOOKUP(B333,'CPF Table'!$A$13:$E$23,3,TRUE)*F333</f>
        <v>0</v>
      </c>
      <c r="H333" s="18">
        <f>VLOOKUP(B333,'CPF Table'!$A$13:$E$23,4,TRUE)*CPF!F333</f>
        <v>0</v>
      </c>
      <c r="I333" s="18">
        <f>VLOOKUP(B333,'CPF Table'!$A$13:$E$23,5,TRUE)*CPF!F333</f>
        <v>0</v>
      </c>
      <c r="J333" s="103">
        <f t="shared" si="8"/>
        <v>0</v>
      </c>
    </row>
    <row r="334" spans="3:10">
      <c r="C334" s="126">
        <v>0</v>
      </c>
      <c r="D334" s="127">
        <v>0</v>
      </c>
      <c r="E334" s="82">
        <f t="shared" si="9"/>
        <v>0</v>
      </c>
      <c r="F334" s="18">
        <f>IF(VLOOKUP(B334,'CPF Table'!$A$4:$G$8,5,TRUE)*CPF!C334&gt;=VLOOKUP(B334,'CPF Table'!$A$4:$G$8,6,TRUE),VLOOKUP(B334,'CPF Table'!$A$4:$G$8,5,TRUE)*C334+VLOOKUP(B334,'CPF Table'!$A$4:$G$8,5,TRUE)*CPF!D334,VLOOKUP(B334,'CPF Table'!$A$4:$G$8,5,TRUE)*CPF!C334+VLOOKUP(B334,'CPF Table'!$A$4:$G$8,5,TRUE)*CPF!D334)</f>
        <v>0</v>
      </c>
      <c r="G334" s="18">
        <f>VLOOKUP(B334,'CPF Table'!$A$13:$E$23,3,TRUE)*F334</f>
        <v>0</v>
      </c>
      <c r="H334" s="18">
        <f>VLOOKUP(B334,'CPF Table'!$A$13:$E$23,4,TRUE)*CPF!F334</f>
        <v>0</v>
      </c>
      <c r="I334" s="18">
        <f>VLOOKUP(B334,'CPF Table'!$A$13:$E$23,5,TRUE)*CPF!F334</f>
        <v>0</v>
      </c>
      <c r="J334" s="103">
        <f t="shared" ref="J334:J397" si="10">E334-F334</f>
        <v>0</v>
      </c>
    </row>
    <row r="335" spans="3:10">
      <c r="C335" s="126">
        <v>0</v>
      </c>
      <c r="D335" s="127">
        <v>0</v>
      </c>
      <c r="E335" s="82">
        <f t="shared" ref="E335:E398" si="11">C335+D335</f>
        <v>0</v>
      </c>
      <c r="F335" s="18">
        <f>IF(VLOOKUP(B335,'CPF Table'!$A$4:$G$8,5,TRUE)*CPF!C335&gt;=VLOOKUP(B335,'CPF Table'!$A$4:$G$8,6,TRUE),VLOOKUP(B335,'CPF Table'!$A$4:$G$8,5,TRUE)*C335+VLOOKUP(B335,'CPF Table'!$A$4:$G$8,5,TRUE)*CPF!D335,VLOOKUP(B335,'CPF Table'!$A$4:$G$8,5,TRUE)*CPF!C335+VLOOKUP(B335,'CPF Table'!$A$4:$G$8,5,TRUE)*CPF!D335)</f>
        <v>0</v>
      </c>
      <c r="G335" s="18">
        <f>VLOOKUP(B335,'CPF Table'!$A$13:$E$23,3,TRUE)*F335</f>
        <v>0</v>
      </c>
      <c r="H335" s="18">
        <f>VLOOKUP(B335,'CPF Table'!$A$13:$E$23,4,TRUE)*CPF!F335</f>
        <v>0</v>
      </c>
      <c r="I335" s="18">
        <f>VLOOKUP(B335,'CPF Table'!$A$13:$E$23,5,TRUE)*CPF!F335</f>
        <v>0</v>
      </c>
      <c r="J335" s="103">
        <f t="shared" si="10"/>
        <v>0</v>
      </c>
    </row>
    <row r="336" spans="3:10">
      <c r="C336" s="126">
        <v>0</v>
      </c>
      <c r="D336" s="127">
        <v>0</v>
      </c>
      <c r="E336" s="82">
        <f t="shared" si="11"/>
        <v>0</v>
      </c>
      <c r="F336" s="18">
        <f>IF(VLOOKUP(B336,'CPF Table'!$A$4:$G$8,5,TRUE)*CPF!C336&gt;=VLOOKUP(B336,'CPF Table'!$A$4:$G$8,6,TRUE),VLOOKUP(B336,'CPF Table'!$A$4:$G$8,5,TRUE)*C336+VLOOKUP(B336,'CPF Table'!$A$4:$G$8,5,TRUE)*CPF!D336,VLOOKUP(B336,'CPF Table'!$A$4:$G$8,5,TRUE)*CPF!C336+VLOOKUP(B336,'CPF Table'!$A$4:$G$8,5,TRUE)*CPF!D336)</f>
        <v>0</v>
      </c>
      <c r="G336" s="18">
        <f>VLOOKUP(B336,'CPF Table'!$A$13:$E$23,3,TRUE)*F336</f>
        <v>0</v>
      </c>
      <c r="H336" s="18">
        <f>VLOOKUP(B336,'CPF Table'!$A$13:$E$23,4,TRUE)*CPF!F336</f>
        <v>0</v>
      </c>
      <c r="I336" s="18">
        <f>VLOOKUP(B336,'CPF Table'!$A$13:$E$23,5,TRUE)*CPF!F336</f>
        <v>0</v>
      </c>
      <c r="J336" s="103">
        <f t="shared" si="10"/>
        <v>0</v>
      </c>
    </row>
    <row r="337" spans="3:10">
      <c r="C337" s="126">
        <v>0</v>
      </c>
      <c r="D337" s="127">
        <v>0</v>
      </c>
      <c r="E337" s="82">
        <f t="shared" si="11"/>
        <v>0</v>
      </c>
      <c r="F337" s="18">
        <f>IF(VLOOKUP(B337,'CPF Table'!$A$4:$G$8,5,TRUE)*CPF!C337&gt;=VLOOKUP(B337,'CPF Table'!$A$4:$G$8,6,TRUE),VLOOKUP(B337,'CPF Table'!$A$4:$G$8,5,TRUE)*C337+VLOOKUP(B337,'CPF Table'!$A$4:$G$8,5,TRUE)*CPF!D337,VLOOKUP(B337,'CPF Table'!$A$4:$G$8,5,TRUE)*CPF!C337+VLOOKUP(B337,'CPF Table'!$A$4:$G$8,5,TRUE)*CPF!D337)</f>
        <v>0</v>
      </c>
      <c r="G337" s="18">
        <f>VLOOKUP(B337,'CPF Table'!$A$13:$E$23,3,TRUE)*F337</f>
        <v>0</v>
      </c>
      <c r="H337" s="18">
        <f>VLOOKUP(B337,'CPF Table'!$A$13:$E$23,4,TRUE)*CPF!F337</f>
        <v>0</v>
      </c>
      <c r="I337" s="18">
        <f>VLOOKUP(B337,'CPF Table'!$A$13:$E$23,5,TRUE)*CPF!F337</f>
        <v>0</v>
      </c>
      <c r="J337" s="103">
        <f t="shared" si="10"/>
        <v>0</v>
      </c>
    </row>
    <row r="338" spans="3:10">
      <c r="C338" s="126">
        <v>0</v>
      </c>
      <c r="D338" s="127">
        <v>0</v>
      </c>
      <c r="E338" s="82">
        <f t="shared" si="11"/>
        <v>0</v>
      </c>
      <c r="F338" s="18">
        <f>IF(VLOOKUP(B338,'CPF Table'!$A$4:$G$8,5,TRUE)*CPF!C338&gt;=VLOOKUP(B338,'CPF Table'!$A$4:$G$8,6,TRUE),VLOOKUP(B338,'CPF Table'!$A$4:$G$8,5,TRUE)*C338+VLOOKUP(B338,'CPF Table'!$A$4:$G$8,5,TRUE)*CPF!D338,VLOOKUP(B338,'CPF Table'!$A$4:$G$8,5,TRUE)*CPF!C338+VLOOKUP(B338,'CPF Table'!$A$4:$G$8,5,TRUE)*CPF!D338)</f>
        <v>0</v>
      </c>
      <c r="G338" s="18">
        <f>VLOOKUP(B338,'CPF Table'!$A$13:$E$23,3,TRUE)*F338</f>
        <v>0</v>
      </c>
      <c r="H338" s="18">
        <f>VLOOKUP(B338,'CPF Table'!$A$13:$E$23,4,TRUE)*CPF!F338</f>
        <v>0</v>
      </c>
      <c r="I338" s="18">
        <f>VLOOKUP(B338,'CPF Table'!$A$13:$E$23,5,TRUE)*CPF!F338</f>
        <v>0</v>
      </c>
      <c r="J338" s="103">
        <f t="shared" si="10"/>
        <v>0</v>
      </c>
    </row>
    <row r="339" spans="3:10">
      <c r="C339" s="126">
        <v>0</v>
      </c>
      <c r="D339" s="127">
        <v>0</v>
      </c>
      <c r="E339" s="82">
        <f t="shared" si="11"/>
        <v>0</v>
      </c>
      <c r="F339" s="18">
        <f>IF(VLOOKUP(B339,'CPF Table'!$A$4:$G$8,5,TRUE)*CPF!C339&gt;=VLOOKUP(B339,'CPF Table'!$A$4:$G$8,6,TRUE),VLOOKUP(B339,'CPF Table'!$A$4:$G$8,5,TRUE)*C339+VLOOKUP(B339,'CPF Table'!$A$4:$G$8,5,TRUE)*CPF!D339,VLOOKUP(B339,'CPF Table'!$A$4:$G$8,5,TRUE)*CPF!C339+VLOOKUP(B339,'CPF Table'!$A$4:$G$8,5,TRUE)*CPF!D339)</f>
        <v>0</v>
      </c>
      <c r="G339" s="18">
        <f>VLOOKUP(B339,'CPF Table'!$A$13:$E$23,3,TRUE)*F339</f>
        <v>0</v>
      </c>
      <c r="H339" s="18">
        <f>VLOOKUP(B339,'CPF Table'!$A$13:$E$23,4,TRUE)*CPF!F339</f>
        <v>0</v>
      </c>
      <c r="I339" s="18">
        <f>VLOOKUP(B339,'CPF Table'!$A$13:$E$23,5,TRUE)*CPF!F339</f>
        <v>0</v>
      </c>
      <c r="J339" s="103">
        <f t="shared" si="10"/>
        <v>0</v>
      </c>
    </row>
    <row r="340" spans="3:10">
      <c r="C340" s="126">
        <v>0</v>
      </c>
      <c r="D340" s="127">
        <v>0</v>
      </c>
      <c r="E340" s="82">
        <f t="shared" si="11"/>
        <v>0</v>
      </c>
      <c r="F340" s="18">
        <f>IF(VLOOKUP(B340,'CPF Table'!$A$4:$G$8,5,TRUE)*CPF!C340&gt;=VLOOKUP(B340,'CPF Table'!$A$4:$G$8,6,TRUE),VLOOKUP(B340,'CPF Table'!$A$4:$G$8,5,TRUE)*C340+VLOOKUP(B340,'CPF Table'!$A$4:$G$8,5,TRUE)*CPF!D340,VLOOKUP(B340,'CPF Table'!$A$4:$G$8,5,TRUE)*CPF!C340+VLOOKUP(B340,'CPF Table'!$A$4:$G$8,5,TRUE)*CPF!D340)</f>
        <v>0</v>
      </c>
      <c r="G340" s="18">
        <f>VLOOKUP(B340,'CPF Table'!$A$13:$E$23,3,TRUE)*F340</f>
        <v>0</v>
      </c>
      <c r="H340" s="18">
        <f>VLOOKUP(B340,'CPF Table'!$A$13:$E$23,4,TRUE)*CPF!F340</f>
        <v>0</v>
      </c>
      <c r="I340" s="18">
        <f>VLOOKUP(B340,'CPF Table'!$A$13:$E$23,5,TRUE)*CPF!F340</f>
        <v>0</v>
      </c>
      <c r="J340" s="103">
        <f t="shared" si="10"/>
        <v>0</v>
      </c>
    </row>
    <row r="341" spans="3:10">
      <c r="C341" s="126">
        <v>0</v>
      </c>
      <c r="D341" s="127">
        <v>0</v>
      </c>
      <c r="E341" s="82">
        <f t="shared" si="11"/>
        <v>0</v>
      </c>
      <c r="F341" s="18">
        <f>IF(VLOOKUP(B341,'CPF Table'!$A$4:$G$8,5,TRUE)*CPF!C341&gt;=VLOOKUP(B341,'CPF Table'!$A$4:$G$8,6,TRUE),VLOOKUP(B341,'CPF Table'!$A$4:$G$8,5,TRUE)*C341+VLOOKUP(B341,'CPF Table'!$A$4:$G$8,5,TRUE)*CPF!D341,VLOOKUP(B341,'CPF Table'!$A$4:$G$8,5,TRUE)*CPF!C341+VLOOKUP(B341,'CPF Table'!$A$4:$G$8,5,TRUE)*CPF!D341)</f>
        <v>0</v>
      </c>
      <c r="G341" s="18">
        <f>VLOOKUP(B341,'CPF Table'!$A$13:$E$23,3,TRUE)*F341</f>
        <v>0</v>
      </c>
      <c r="H341" s="18">
        <f>VLOOKUP(B341,'CPF Table'!$A$13:$E$23,4,TRUE)*CPF!F341</f>
        <v>0</v>
      </c>
      <c r="I341" s="18">
        <f>VLOOKUP(B341,'CPF Table'!$A$13:$E$23,5,TRUE)*CPF!F341</f>
        <v>0</v>
      </c>
      <c r="J341" s="103">
        <f t="shared" si="10"/>
        <v>0</v>
      </c>
    </row>
    <row r="342" spans="3:10">
      <c r="C342" s="126">
        <v>0</v>
      </c>
      <c r="D342" s="127">
        <v>0</v>
      </c>
      <c r="E342" s="82">
        <f t="shared" si="11"/>
        <v>0</v>
      </c>
      <c r="F342" s="18">
        <f>IF(VLOOKUP(B342,'CPF Table'!$A$4:$G$8,5,TRUE)*CPF!C342&gt;=VLOOKUP(B342,'CPF Table'!$A$4:$G$8,6,TRUE),VLOOKUP(B342,'CPF Table'!$A$4:$G$8,5,TRUE)*C342+VLOOKUP(B342,'CPF Table'!$A$4:$G$8,5,TRUE)*CPF!D342,VLOOKUP(B342,'CPF Table'!$A$4:$G$8,5,TRUE)*CPF!C342+VLOOKUP(B342,'CPF Table'!$A$4:$G$8,5,TRUE)*CPF!D342)</f>
        <v>0</v>
      </c>
      <c r="G342" s="18">
        <f>VLOOKUP(B342,'CPF Table'!$A$13:$E$23,3,TRUE)*F342</f>
        <v>0</v>
      </c>
      <c r="H342" s="18">
        <f>VLOOKUP(B342,'CPF Table'!$A$13:$E$23,4,TRUE)*CPF!F342</f>
        <v>0</v>
      </c>
      <c r="I342" s="18">
        <f>VLOOKUP(B342,'CPF Table'!$A$13:$E$23,5,TRUE)*CPF!F342</f>
        <v>0</v>
      </c>
      <c r="J342" s="103">
        <f t="shared" si="10"/>
        <v>0</v>
      </c>
    </row>
    <row r="343" spans="3:10">
      <c r="C343" s="126">
        <v>0</v>
      </c>
      <c r="D343" s="127">
        <v>0</v>
      </c>
      <c r="E343" s="82">
        <f t="shared" si="11"/>
        <v>0</v>
      </c>
      <c r="F343" s="18">
        <f>IF(VLOOKUP(B343,'CPF Table'!$A$4:$G$8,5,TRUE)*CPF!C343&gt;=VLOOKUP(B343,'CPF Table'!$A$4:$G$8,6,TRUE),VLOOKUP(B343,'CPF Table'!$A$4:$G$8,5,TRUE)*C343+VLOOKUP(B343,'CPF Table'!$A$4:$G$8,5,TRUE)*CPF!D343,VLOOKUP(B343,'CPF Table'!$A$4:$G$8,5,TRUE)*CPF!C343+VLOOKUP(B343,'CPF Table'!$A$4:$G$8,5,TRUE)*CPF!D343)</f>
        <v>0</v>
      </c>
      <c r="G343" s="18">
        <f>VLOOKUP(B343,'CPF Table'!$A$13:$E$23,3,TRUE)*F343</f>
        <v>0</v>
      </c>
      <c r="H343" s="18">
        <f>VLOOKUP(B343,'CPF Table'!$A$13:$E$23,4,TRUE)*CPF!F343</f>
        <v>0</v>
      </c>
      <c r="I343" s="18">
        <f>VLOOKUP(B343,'CPF Table'!$A$13:$E$23,5,TRUE)*CPF!F343</f>
        <v>0</v>
      </c>
      <c r="J343" s="103">
        <f t="shared" si="10"/>
        <v>0</v>
      </c>
    </row>
    <row r="344" spans="3:10">
      <c r="C344" s="126">
        <v>0</v>
      </c>
      <c r="D344" s="127">
        <v>0</v>
      </c>
      <c r="E344" s="82">
        <f t="shared" si="11"/>
        <v>0</v>
      </c>
      <c r="F344" s="18">
        <f>IF(VLOOKUP(B344,'CPF Table'!$A$4:$G$8,5,TRUE)*CPF!C344&gt;=VLOOKUP(B344,'CPF Table'!$A$4:$G$8,6,TRUE),VLOOKUP(B344,'CPF Table'!$A$4:$G$8,5,TRUE)*C344+VLOOKUP(B344,'CPF Table'!$A$4:$G$8,5,TRUE)*CPF!D344,VLOOKUP(B344,'CPF Table'!$A$4:$G$8,5,TRUE)*CPF!C344+VLOOKUP(B344,'CPF Table'!$A$4:$G$8,5,TRUE)*CPF!D344)</f>
        <v>0</v>
      </c>
      <c r="G344" s="18">
        <f>VLOOKUP(B344,'CPF Table'!$A$13:$E$23,3,TRUE)*F344</f>
        <v>0</v>
      </c>
      <c r="H344" s="18">
        <f>VLOOKUP(B344,'CPF Table'!$A$13:$E$23,4,TRUE)*CPF!F344</f>
        <v>0</v>
      </c>
      <c r="I344" s="18">
        <f>VLOOKUP(B344,'CPF Table'!$A$13:$E$23,5,TRUE)*CPF!F344</f>
        <v>0</v>
      </c>
      <c r="J344" s="103">
        <f t="shared" si="10"/>
        <v>0</v>
      </c>
    </row>
    <row r="345" spans="3:10">
      <c r="C345" s="126">
        <v>0</v>
      </c>
      <c r="D345" s="127">
        <v>0</v>
      </c>
      <c r="E345" s="82">
        <f t="shared" si="11"/>
        <v>0</v>
      </c>
      <c r="F345" s="18">
        <f>IF(VLOOKUP(B345,'CPF Table'!$A$4:$G$8,5,TRUE)*CPF!C345&gt;=VLOOKUP(B345,'CPF Table'!$A$4:$G$8,6,TRUE),VLOOKUP(B345,'CPF Table'!$A$4:$G$8,5,TRUE)*C345+VLOOKUP(B345,'CPF Table'!$A$4:$G$8,5,TRUE)*CPF!D345,VLOOKUP(B345,'CPF Table'!$A$4:$G$8,5,TRUE)*CPF!C345+VLOOKUP(B345,'CPF Table'!$A$4:$G$8,5,TRUE)*CPF!D345)</f>
        <v>0</v>
      </c>
      <c r="G345" s="18">
        <f>VLOOKUP(B345,'CPF Table'!$A$13:$E$23,3,TRUE)*F345</f>
        <v>0</v>
      </c>
      <c r="H345" s="18">
        <f>VLOOKUP(B345,'CPF Table'!$A$13:$E$23,4,TRUE)*CPF!F345</f>
        <v>0</v>
      </c>
      <c r="I345" s="18">
        <f>VLOOKUP(B345,'CPF Table'!$A$13:$E$23,5,TRUE)*CPF!F345</f>
        <v>0</v>
      </c>
      <c r="J345" s="103">
        <f t="shared" si="10"/>
        <v>0</v>
      </c>
    </row>
    <row r="346" spans="3:10">
      <c r="C346" s="126">
        <v>0</v>
      </c>
      <c r="D346" s="127">
        <v>0</v>
      </c>
      <c r="E346" s="82">
        <f t="shared" si="11"/>
        <v>0</v>
      </c>
      <c r="F346" s="18">
        <f>IF(VLOOKUP(B346,'CPF Table'!$A$4:$G$8,5,TRUE)*CPF!C346&gt;=VLOOKUP(B346,'CPF Table'!$A$4:$G$8,6,TRUE),VLOOKUP(B346,'CPF Table'!$A$4:$G$8,5,TRUE)*C346+VLOOKUP(B346,'CPF Table'!$A$4:$G$8,5,TRUE)*CPF!D346,VLOOKUP(B346,'CPF Table'!$A$4:$G$8,5,TRUE)*CPF!C346+VLOOKUP(B346,'CPF Table'!$A$4:$G$8,5,TRUE)*CPF!D346)</f>
        <v>0</v>
      </c>
      <c r="G346" s="18">
        <f>VLOOKUP(B346,'CPF Table'!$A$13:$E$23,3,TRUE)*F346</f>
        <v>0</v>
      </c>
      <c r="H346" s="18">
        <f>VLOOKUP(B346,'CPF Table'!$A$13:$E$23,4,TRUE)*CPF!F346</f>
        <v>0</v>
      </c>
      <c r="I346" s="18">
        <f>VLOOKUP(B346,'CPF Table'!$A$13:$E$23,5,TRUE)*CPF!F346</f>
        <v>0</v>
      </c>
      <c r="J346" s="103">
        <f t="shared" si="10"/>
        <v>0</v>
      </c>
    </row>
    <row r="347" spans="3:10">
      <c r="C347" s="126">
        <v>0</v>
      </c>
      <c r="D347" s="127">
        <v>0</v>
      </c>
      <c r="E347" s="82">
        <f t="shared" si="11"/>
        <v>0</v>
      </c>
      <c r="F347" s="18">
        <f>IF(VLOOKUP(B347,'CPF Table'!$A$4:$G$8,5,TRUE)*CPF!C347&gt;=VLOOKUP(B347,'CPF Table'!$A$4:$G$8,6,TRUE),VLOOKUP(B347,'CPF Table'!$A$4:$G$8,5,TRUE)*C347+VLOOKUP(B347,'CPF Table'!$A$4:$G$8,5,TRUE)*CPF!D347,VLOOKUP(B347,'CPF Table'!$A$4:$G$8,5,TRUE)*CPF!C347+VLOOKUP(B347,'CPF Table'!$A$4:$G$8,5,TRUE)*CPF!D347)</f>
        <v>0</v>
      </c>
      <c r="G347" s="18">
        <f>VLOOKUP(B347,'CPF Table'!$A$13:$E$23,3,TRUE)*F347</f>
        <v>0</v>
      </c>
      <c r="H347" s="18">
        <f>VLOOKUP(B347,'CPF Table'!$A$13:$E$23,4,TRUE)*CPF!F347</f>
        <v>0</v>
      </c>
      <c r="I347" s="18">
        <f>VLOOKUP(B347,'CPF Table'!$A$13:$E$23,5,TRUE)*CPF!F347</f>
        <v>0</v>
      </c>
      <c r="J347" s="103">
        <f t="shared" si="10"/>
        <v>0</v>
      </c>
    </row>
    <row r="348" spans="3:10">
      <c r="C348" s="126">
        <v>0</v>
      </c>
      <c r="D348" s="127">
        <v>0</v>
      </c>
      <c r="E348" s="82">
        <f t="shared" si="11"/>
        <v>0</v>
      </c>
      <c r="F348" s="18">
        <f>IF(VLOOKUP(B348,'CPF Table'!$A$4:$G$8,5,TRUE)*CPF!C348&gt;=VLOOKUP(B348,'CPF Table'!$A$4:$G$8,6,TRUE),VLOOKUP(B348,'CPF Table'!$A$4:$G$8,5,TRUE)*C348+VLOOKUP(B348,'CPF Table'!$A$4:$G$8,5,TRUE)*CPF!D348,VLOOKUP(B348,'CPF Table'!$A$4:$G$8,5,TRUE)*CPF!C348+VLOOKUP(B348,'CPF Table'!$A$4:$G$8,5,TRUE)*CPF!D348)</f>
        <v>0</v>
      </c>
      <c r="G348" s="18">
        <f>VLOOKUP(B348,'CPF Table'!$A$13:$E$23,3,TRUE)*F348</f>
        <v>0</v>
      </c>
      <c r="H348" s="18">
        <f>VLOOKUP(B348,'CPF Table'!$A$13:$E$23,4,TRUE)*CPF!F348</f>
        <v>0</v>
      </c>
      <c r="I348" s="18">
        <f>VLOOKUP(B348,'CPF Table'!$A$13:$E$23,5,TRUE)*CPF!F348</f>
        <v>0</v>
      </c>
      <c r="J348" s="103">
        <f t="shared" si="10"/>
        <v>0</v>
      </c>
    </row>
    <row r="349" spans="3:10">
      <c r="C349" s="126">
        <v>0</v>
      </c>
      <c r="D349" s="127">
        <v>0</v>
      </c>
      <c r="E349" s="82">
        <f t="shared" si="11"/>
        <v>0</v>
      </c>
      <c r="F349" s="18">
        <f>IF(VLOOKUP(B349,'CPF Table'!$A$4:$G$8,5,TRUE)*CPF!C349&gt;=VLOOKUP(B349,'CPF Table'!$A$4:$G$8,6,TRUE),VLOOKUP(B349,'CPF Table'!$A$4:$G$8,5,TRUE)*C349+VLOOKUP(B349,'CPF Table'!$A$4:$G$8,5,TRUE)*CPF!D349,VLOOKUP(B349,'CPF Table'!$A$4:$G$8,5,TRUE)*CPF!C349+VLOOKUP(B349,'CPF Table'!$A$4:$G$8,5,TRUE)*CPF!D349)</f>
        <v>0</v>
      </c>
      <c r="G349" s="18">
        <f>VLOOKUP(B349,'CPF Table'!$A$13:$E$23,3,TRUE)*F349</f>
        <v>0</v>
      </c>
      <c r="H349" s="18">
        <f>VLOOKUP(B349,'CPF Table'!$A$13:$E$23,4,TRUE)*CPF!F349</f>
        <v>0</v>
      </c>
      <c r="I349" s="18">
        <f>VLOOKUP(B349,'CPF Table'!$A$13:$E$23,5,TRUE)*CPF!F349</f>
        <v>0</v>
      </c>
      <c r="J349" s="103">
        <f t="shared" si="10"/>
        <v>0</v>
      </c>
    </row>
    <row r="350" spans="3:10">
      <c r="C350" s="126">
        <v>0</v>
      </c>
      <c r="D350" s="127">
        <v>0</v>
      </c>
      <c r="E350" s="82">
        <f t="shared" si="11"/>
        <v>0</v>
      </c>
      <c r="F350" s="18">
        <f>IF(VLOOKUP(B350,'CPF Table'!$A$4:$G$8,5,TRUE)*CPF!C350&gt;=VLOOKUP(B350,'CPF Table'!$A$4:$G$8,6,TRUE),VLOOKUP(B350,'CPF Table'!$A$4:$G$8,5,TRUE)*C350+VLOOKUP(B350,'CPF Table'!$A$4:$G$8,5,TRUE)*CPF!D350,VLOOKUP(B350,'CPF Table'!$A$4:$G$8,5,TRUE)*CPF!C350+VLOOKUP(B350,'CPF Table'!$A$4:$G$8,5,TRUE)*CPF!D350)</f>
        <v>0</v>
      </c>
      <c r="G350" s="18">
        <f>VLOOKUP(B350,'CPF Table'!$A$13:$E$23,3,TRUE)*F350</f>
        <v>0</v>
      </c>
      <c r="H350" s="18">
        <f>VLOOKUP(B350,'CPF Table'!$A$13:$E$23,4,TRUE)*CPF!F350</f>
        <v>0</v>
      </c>
      <c r="I350" s="18">
        <f>VLOOKUP(B350,'CPF Table'!$A$13:$E$23,5,TRUE)*CPF!F350</f>
        <v>0</v>
      </c>
      <c r="J350" s="103">
        <f t="shared" si="10"/>
        <v>0</v>
      </c>
    </row>
    <row r="351" spans="3:10">
      <c r="C351" s="126">
        <v>0</v>
      </c>
      <c r="D351" s="127">
        <v>0</v>
      </c>
      <c r="E351" s="82">
        <f t="shared" si="11"/>
        <v>0</v>
      </c>
      <c r="F351" s="18">
        <f>IF(VLOOKUP(B351,'CPF Table'!$A$4:$G$8,5,TRUE)*CPF!C351&gt;=VLOOKUP(B351,'CPF Table'!$A$4:$G$8,6,TRUE),VLOOKUP(B351,'CPF Table'!$A$4:$G$8,5,TRUE)*C351+VLOOKUP(B351,'CPF Table'!$A$4:$G$8,5,TRUE)*CPF!D351,VLOOKUP(B351,'CPF Table'!$A$4:$G$8,5,TRUE)*CPF!C351+VLOOKUP(B351,'CPF Table'!$A$4:$G$8,5,TRUE)*CPF!D351)</f>
        <v>0</v>
      </c>
      <c r="G351" s="18">
        <f>VLOOKUP(B351,'CPF Table'!$A$13:$E$23,3,TRUE)*F351</f>
        <v>0</v>
      </c>
      <c r="H351" s="18">
        <f>VLOOKUP(B351,'CPF Table'!$A$13:$E$23,4,TRUE)*CPF!F351</f>
        <v>0</v>
      </c>
      <c r="I351" s="18">
        <f>VLOOKUP(B351,'CPF Table'!$A$13:$E$23,5,TRUE)*CPF!F351</f>
        <v>0</v>
      </c>
      <c r="J351" s="103">
        <f t="shared" si="10"/>
        <v>0</v>
      </c>
    </row>
    <row r="352" spans="3:10">
      <c r="C352" s="126">
        <v>0</v>
      </c>
      <c r="D352" s="127">
        <v>0</v>
      </c>
      <c r="E352" s="82">
        <f t="shared" si="11"/>
        <v>0</v>
      </c>
      <c r="F352" s="18">
        <f>IF(VLOOKUP(B352,'CPF Table'!$A$4:$G$8,5,TRUE)*CPF!C352&gt;=VLOOKUP(B352,'CPF Table'!$A$4:$G$8,6,TRUE),VLOOKUP(B352,'CPF Table'!$A$4:$G$8,5,TRUE)*C352+VLOOKUP(B352,'CPF Table'!$A$4:$G$8,5,TRUE)*CPF!D352,VLOOKUP(B352,'CPF Table'!$A$4:$G$8,5,TRUE)*CPF!C352+VLOOKUP(B352,'CPF Table'!$A$4:$G$8,5,TRUE)*CPF!D352)</f>
        <v>0</v>
      </c>
      <c r="G352" s="18">
        <f>VLOOKUP(B352,'CPF Table'!$A$13:$E$23,3,TRUE)*F352</f>
        <v>0</v>
      </c>
      <c r="H352" s="18">
        <f>VLOOKUP(B352,'CPF Table'!$A$13:$E$23,4,TRUE)*CPF!F352</f>
        <v>0</v>
      </c>
      <c r="I352" s="18">
        <f>VLOOKUP(B352,'CPF Table'!$A$13:$E$23,5,TRUE)*CPF!F352</f>
        <v>0</v>
      </c>
      <c r="J352" s="103">
        <f t="shared" si="10"/>
        <v>0</v>
      </c>
    </row>
    <row r="353" spans="3:10">
      <c r="C353" s="126">
        <v>0</v>
      </c>
      <c r="D353" s="127">
        <v>0</v>
      </c>
      <c r="E353" s="82">
        <f t="shared" si="11"/>
        <v>0</v>
      </c>
      <c r="F353" s="18">
        <f>IF(VLOOKUP(B353,'CPF Table'!$A$4:$G$8,5,TRUE)*CPF!C353&gt;=VLOOKUP(B353,'CPF Table'!$A$4:$G$8,6,TRUE),VLOOKUP(B353,'CPF Table'!$A$4:$G$8,5,TRUE)*C353+VLOOKUP(B353,'CPF Table'!$A$4:$G$8,5,TRUE)*CPF!D353,VLOOKUP(B353,'CPF Table'!$A$4:$G$8,5,TRUE)*CPF!C353+VLOOKUP(B353,'CPF Table'!$A$4:$G$8,5,TRUE)*CPF!D353)</f>
        <v>0</v>
      </c>
      <c r="G353" s="18">
        <f>VLOOKUP(B353,'CPF Table'!$A$13:$E$23,3,TRUE)*F353</f>
        <v>0</v>
      </c>
      <c r="H353" s="18">
        <f>VLOOKUP(B353,'CPF Table'!$A$13:$E$23,4,TRUE)*CPF!F353</f>
        <v>0</v>
      </c>
      <c r="I353" s="18">
        <f>VLOOKUP(B353,'CPF Table'!$A$13:$E$23,5,TRUE)*CPF!F353</f>
        <v>0</v>
      </c>
      <c r="J353" s="103">
        <f t="shared" si="10"/>
        <v>0</v>
      </c>
    </row>
    <row r="354" spans="3:10">
      <c r="C354" s="126">
        <v>0</v>
      </c>
      <c r="D354" s="127">
        <v>0</v>
      </c>
      <c r="E354" s="82">
        <f t="shared" si="11"/>
        <v>0</v>
      </c>
      <c r="F354" s="18">
        <f>IF(VLOOKUP(B354,'CPF Table'!$A$4:$G$8,5,TRUE)*CPF!C354&gt;=VLOOKUP(B354,'CPF Table'!$A$4:$G$8,6,TRUE),VLOOKUP(B354,'CPF Table'!$A$4:$G$8,5,TRUE)*C354+VLOOKUP(B354,'CPF Table'!$A$4:$G$8,5,TRUE)*CPF!D354,VLOOKUP(B354,'CPF Table'!$A$4:$G$8,5,TRUE)*CPF!C354+VLOOKUP(B354,'CPF Table'!$A$4:$G$8,5,TRUE)*CPF!D354)</f>
        <v>0</v>
      </c>
      <c r="G354" s="18">
        <f>VLOOKUP(B354,'CPF Table'!$A$13:$E$23,3,TRUE)*F354</f>
        <v>0</v>
      </c>
      <c r="H354" s="18">
        <f>VLOOKUP(B354,'CPF Table'!$A$13:$E$23,4,TRUE)*CPF!F354</f>
        <v>0</v>
      </c>
      <c r="I354" s="18">
        <f>VLOOKUP(B354,'CPF Table'!$A$13:$E$23,5,TRUE)*CPF!F354</f>
        <v>0</v>
      </c>
      <c r="J354" s="103">
        <f t="shared" si="10"/>
        <v>0</v>
      </c>
    </row>
    <row r="355" spans="3:10">
      <c r="C355" s="126">
        <v>0</v>
      </c>
      <c r="D355" s="127">
        <v>0</v>
      </c>
      <c r="E355" s="82">
        <f t="shared" si="11"/>
        <v>0</v>
      </c>
      <c r="F355" s="18">
        <f>IF(VLOOKUP(B355,'CPF Table'!$A$4:$G$8,5,TRUE)*CPF!C355&gt;=VLOOKUP(B355,'CPF Table'!$A$4:$G$8,6,TRUE),VLOOKUP(B355,'CPF Table'!$A$4:$G$8,5,TRUE)*C355+VLOOKUP(B355,'CPF Table'!$A$4:$G$8,5,TRUE)*CPF!D355,VLOOKUP(B355,'CPF Table'!$A$4:$G$8,5,TRUE)*CPF!C355+VLOOKUP(B355,'CPF Table'!$A$4:$G$8,5,TRUE)*CPF!D355)</f>
        <v>0</v>
      </c>
      <c r="G355" s="18">
        <f>VLOOKUP(B355,'CPF Table'!$A$13:$E$23,3,TRUE)*F355</f>
        <v>0</v>
      </c>
      <c r="H355" s="18">
        <f>VLOOKUP(B355,'CPF Table'!$A$13:$E$23,4,TRUE)*CPF!F355</f>
        <v>0</v>
      </c>
      <c r="I355" s="18">
        <f>VLOOKUP(B355,'CPF Table'!$A$13:$E$23,5,TRUE)*CPF!F355</f>
        <v>0</v>
      </c>
      <c r="J355" s="103">
        <f t="shared" si="10"/>
        <v>0</v>
      </c>
    </row>
    <row r="356" spans="3:10">
      <c r="C356" s="126">
        <v>0</v>
      </c>
      <c r="D356" s="127">
        <v>0</v>
      </c>
      <c r="E356" s="82">
        <f t="shared" si="11"/>
        <v>0</v>
      </c>
      <c r="F356" s="18">
        <f>IF(VLOOKUP(B356,'CPF Table'!$A$4:$G$8,5,TRUE)*CPF!C356&gt;=VLOOKUP(B356,'CPF Table'!$A$4:$G$8,6,TRUE),VLOOKUP(B356,'CPF Table'!$A$4:$G$8,5,TRUE)*C356+VLOOKUP(B356,'CPF Table'!$A$4:$G$8,5,TRUE)*CPF!D356,VLOOKUP(B356,'CPF Table'!$A$4:$G$8,5,TRUE)*CPF!C356+VLOOKUP(B356,'CPF Table'!$A$4:$G$8,5,TRUE)*CPF!D356)</f>
        <v>0</v>
      </c>
      <c r="G356" s="18">
        <f>VLOOKUP(B356,'CPF Table'!$A$13:$E$23,3,TRUE)*F356</f>
        <v>0</v>
      </c>
      <c r="H356" s="18">
        <f>VLOOKUP(B356,'CPF Table'!$A$13:$E$23,4,TRUE)*CPF!F356</f>
        <v>0</v>
      </c>
      <c r="I356" s="18">
        <f>VLOOKUP(B356,'CPF Table'!$A$13:$E$23,5,TRUE)*CPF!F356</f>
        <v>0</v>
      </c>
      <c r="J356" s="103">
        <f t="shared" si="10"/>
        <v>0</v>
      </c>
    </row>
    <row r="357" spans="3:10">
      <c r="C357" s="126">
        <v>0</v>
      </c>
      <c r="D357" s="127">
        <v>0</v>
      </c>
      <c r="E357" s="82">
        <f t="shared" si="11"/>
        <v>0</v>
      </c>
      <c r="F357" s="18">
        <f>IF(VLOOKUP(B357,'CPF Table'!$A$4:$G$8,5,TRUE)*CPF!C357&gt;=VLOOKUP(B357,'CPF Table'!$A$4:$G$8,6,TRUE),VLOOKUP(B357,'CPF Table'!$A$4:$G$8,5,TRUE)*C357+VLOOKUP(B357,'CPF Table'!$A$4:$G$8,5,TRUE)*CPF!D357,VLOOKUP(B357,'CPF Table'!$A$4:$G$8,5,TRUE)*CPF!C357+VLOOKUP(B357,'CPF Table'!$A$4:$G$8,5,TRUE)*CPF!D357)</f>
        <v>0</v>
      </c>
      <c r="G357" s="18">
        <f>VLOOKUP(B357,'CPF Table'!$A$13:$E$23,3,TRUE)*F357</f>
        <v>0</v>
      </c>
      <c r="H357" s="18">
        <f>VLOOKUP(B357,'CPF Table'!$A$13:$E$23,4,TRUE)*CPF!F357</f>
        <v>0</v>
      </c>
      <c r="I357" s="18">
        <f>VLOOKUP(B357,'CPF Table'!$A$13:$E$23,5,TRUE)*CPF!F357</f>
        <v>0</v>
      </c>
      <c r="J357" s="103">
        <f t="shared" si="10"/>
        <v>0</v>
      </c>
    </row>
    <row r="358" spans="3:10">
      <c r="C358" s="126">
        <v>0</v>
      </c>
      <c r="D358" s="127">
        <v>0</v>
      </c>
      <c r="E358" s="82">
        <f t="shared" si="11"/>
        <v>0</v>
      </c>
      <c r="F358" s="18">
        <f>IF(VLOOKUP(B358,'CPF Table'!$A$4:$G$8,5,TRUE)*CPF!C358&gt;=VLOOKUP(B358,'CPF Table'!$A$4:$G$8,6,TRUE),VLOOKUP(B358,'CPF Table'!$A$4:$G$8,5,TRUE)*C358+VLOOKUP(B358,'CPF Table'!$A$4:$G$8,5,TRUE)*CPF!D358,VLOOKUP(B358,'CPF Table'!$A$4:$G$8,5,TRUE)*CPF!C358+VLOOKUP(B358,'CPF Table'!$A$4:$G$8,5,TRUE)*CPF!D358)</f>
        <v>0</v>
      </c>
      <c r="G358" s="18">
        <f>VLOOKUP(B358,'CPF Table'!$A$13:$E$23,3,TRUE)*F358</f>
        <v>0</v>
      </c>
      <c r="H358" s="18">
        <f>VLOOKUP(B358,'CPF Table'!$A$13:$E$23,4,TRUE)*CPF!F358</f>
        <v>0</v>
      </c>
      <c r="I358" s="18">
        <f>VLOOKUP(B358,'CPF Table'!$A$13:$E$23,5,TRUE)*CPF!F358</f>
        <v>0</v>
      </c>
      <c r="J358" s="103">
        <f t="shared" si="10"/>
        <v>0</v>
      </c>
    </row>
    <row r="359" spans="3:10">
      <c r="C359" s="126">
        <v>0</v>
      </c>
      <c r="D359" s="127">
        <v>0</v>
      </c>
      <c r="E359" s="82">
        <f t="shared" si="11"/>
        <v>0</v>
      </c>
      <c r="F359" s="18">
        <f>IF(VLOOKUP(B359,'CPF Table'!$A$4:$G$8,5,TRUE)*CPF!C359&gt;=VLOOKUP(B359,'CPF Table'!$A$4:$G$8,6,TRUE),VLOOKUP(B359,'CPF Table'!$A$4:$G$8,5,TRUE)*C359+VLOOKUP(B359,'CPF Table'!$A$4:$G$8,5,TRUE)*CPF!D359,VLOOKUP(B359,'CPF Table'!$A$4:$G$8,5,TRUE)*CPF!C359+VLOOKUP(B359,'CPF Table'!$A$4:$G$8,5,TRUE)*CPF!D359)</f>
        <v>0</v>
      </c>
      <c r="G359" s="18">
        <f>VLOOKUP(B359,'CPF Table'!$A$13:$E$23,3,TRUE)*F359</f>
        <v>0</v>
      </c>
      <c r="H359" s="18">
        <f>VLOOKUP(B359,'CPF Table'!$A$13:$E$23,4,TRUE)*CPF!F359</f>
        <v>0</v>
      </c>
      <c r="I359" s="18">
        <f>VLOOKUP(B359,'CPF Table'!$A$13:$E$23,5,TRUE)*CPF!F359</f>
        <v>0</v>
      </c>
      <c r="J359" s="103">
        <f t="shared" si="10"/>
        <v>0</v>
      </c>
    </row>
    <row r="360" spans="3:10">
      <c r="C360" s="126">
        <v>0</v>
      </c>
      <c r="D360" s="127">
        <v>0</v>
      </c>
      <c r="E360" s="82">
        <f t="shared" si="11"/>
        <v>0</v>
      </c>
      <c r="F360" s="18">
        <f>IF(VLOOKUP(B360,'CPF Table'!$A$4:$G$8,5,TRUE)*CPF!C360&gt;=VLOOKUP(B360,'CPF Table'!$A$4:$G$8,6,TRUE),VLOOKUP(B360,'CPF Table'!$A$4:$G$8,5,TRUE)*C360+VLOOKUP(B360,'CPF Table'!$A$4:$G$8,5,TRUE)*CPF!D360,VLOOKUP(B360,'CPF Table'!$A$4:$G$8,5,TRUE)*CPF!C360+VLOOKUP(B360,'CPF Table'!$A$4:$G$8,5,TRUE)*CPF!D360)</f>
        <v>0</v>
      </c>
      <c r="G360" s="18">
        <f>VLOOKUP(B360,'CPF Table'!$A$13:$E$23,3,TRUE)*F360</f>
        <v>0</v>
      </c>
      <c r="H360" s="18">
        <f>VLOOKUP(B360,'CPF Table'!$A$13:$E$23,4,TRUE)*CPF!F360</f>
        <v>0</v>
      </c>
      <c r="I360" s="18">
        <f>VLOOKUP(B360,'CPF Table'!$A$13:$E$23,5,TRUE)*CPF!F360</f>
        <v>0</v>
      </c>
      <c r="J360" s="103">
        <f t="shared" si="10"/>
        <v>0</v>
      </c>
    </row>
    <row r="361" spans="3:10">
      <c r="C361" s="126">
        <v>0</v>
      </c>
      <c r="D361" s="127">
        <v>0</v>
      </c>
      <c r="E361" s="82">
        <f t="shared" si="11"/>
        <v>0</v>
      </c>
      <c r="F361" s="18">
        <f>IF(VLOOKUP(B361,'CPF Table'!$A$4:$G$8,5,TRUE)*CPF!C361&gt;=VLOOKUP(B361,'CPF Table'!$A$4:$G$8,6,TRUE),VLOOKUP(B361,'CPF Table'!$A$4:$G$8,5,TRUE)*C361+VLOOKUP(B361,'CPF Table'!$A$4:$G$8,5,TRUE)*CPF!D361,VLOOKUP(B361,'CPF Table'!$A$4:$G$8,5,TRUE)*CPF!C361+VLOOKUP(B361,'CPF Table'!$A$4:$G$8,5,TRUE)*CPF!D361)</f>
        <v>0</v>
      </c>
      <c r="G361" s="18">
        <f>VLOOKUP(B361,'CPF Table'!$A$13:$E$23,3,TRUE)*F361</f>
        <v>0</v>
      </c>
      <c r="H361" s="18">
        <f>VLOOKUP(B361,'CPF Table'!$A$13:$E$23,4,TRUE)*CPF!F361</f>
        <v>0</v>
      </c>
      <c r="I361" s="18">
        <f>VLOOKUP(B361,'CPF Table'!$A$13:$E$23,5,TRUE)*CPF!F361</f>
        <v>0</v>
      </c>
      <c r="J361" s="103">
        <f t="shared" si="10"/>
        <v>0</v>
      </c>
    </row>
    <row r="362" spans="3:10">
      <c r="C362" s="126">
        <v>0</v>
      </c>
      <c r="D362" s="127">
        <v>0</v>
      </c>
      <c r="E362" s="82">
        <f t="shared" si="11"/>
        <v>0</v>
      </c>
      <c r="F362" s="18">
        <f>IF(VLOOKUP(B362,'CPF Table'!$A$4:$G$8,5,TRUE)*CPF!C362&gt;=VLOOKUP(B362,'CPF Table'!$A$4:$G$8,6,TRUE),VLOOKUP(B362,'CPF Table'!$A$4:$G$8,5,TRUE)*C362+VLOOKUP(B362,'CPF Table'!$A$4:$G$8,5,TRUE)*CPF!D362,VLOOKUP(B362,'CPF Table'!$A$4:$G$8,5,TRUE)*CPF!C362+VLOOKUP(B362,'CPF Table'!$A$4:$G$8,5,TRUE)*CPF!D362)</f>
        <v>0</v>
      </c>
      <c r="G362" s="18">
        <f>VLOOKUP(B362,'CPF Table'!$A$13:$E$23,3,TRUE)*F362</f>
        <v>0</v>
      </c>
      <c r="H362" s="18">
        <f>VLOOKUP(B362,'CPF Table'!$A$13:$E$23,4,TRUE)*CPF!F362</f>
        <v>0</v>
      </c>
      <c r="I362" s="18">
        <f>VLOOKUP(B362,'CPF Table'!$A$13:$E$23,5,TRUE)*CPF!F362</f>
        <v>0</v>
      </c>
      <c r="J362" s="103">
        <f t="shared" si="10"/>
        <v>0</v>
      </c>
    </row>
    <row r="363" spans="3:10">
      <c r="C363" s="126">
        <v>0</v>
      </c>
      <c r="D363" s="127">
        <v>0</v>
      </c>
      <c r="E363" s="82">
        <f t="shared" si="11"/>
        <v>0</v>
      </c>
      <c r="F363" s="18">
        <f>IF(VLOOKUP(B363,'CPF Table'!$A$4:$G$8,5,TRUE)*CPF!C363&gt;=VLOOKUP(B363,'CPF Table'!$A$4:$G$8,6,TRUE),VLOOKUP(B363,'CPF Table'!$A$4:$G$8,5,TRUE)*C363+VLOOKUP(B363,'CPF Table'!$A$4:$G$8,5,TRUE)*CPF!D363,VLOOKUP(B363,'CPF Table'!$A$4:$G$8,5,TRUE)*CPF!C363+VLOOKUP(B363,'CPF Table'!$A$4:$G$8,5,TRUE)*CPF!D363)</f>
        <v>0</v>
      </c>
      <c r="G363" s="18">
        <f>VLOOKUP(B363,'CPF Table'!$A$13:$E$23,3,TRUE)*F363</f>
        <v>0</v>
      </c>
      <c r="H363" s="18">
        <f>VLOOKUP(B363,'CPF Table'!$A$13:$E$23,4,TRUE)*CPF!F363</f>
        <v>0</v>
      </c>
      <c r="I363" s="18">
        <f>VLOOKUP(B363,'CPF Table'!$A$13:$E$23,5,TRUE)*CPF!F363</f>
        <v>0</v>
      </c>
      <c r="J363" s="103">
        <f t="shared" si="10"/>
        <v>0</v>
      </c>
    </row>
    <row r="364" spans="3:10">
      <c r="C364" s="126">
        <v>0</v>
      </c>
      <c r="D364" s="127">
        <v>0</v>
      </c>
      <c r="E364" s="82">
        <f t="shared" si="11"/>
        <v>0</v>
      </c>
      <c r="F364" s="18">
        <f>IF(VLOOKUP(B364,'CPF Table'!$A$4:$G$8,5,TRUE)*CPF!C364&gt;=VLOOKUP(B364,'CPF Table'!$A$4:$G$8,6,TRUE),VLOOKUP(B364,'CPF Table'!$A$4:$G$8,5,TRUE)*C364+VLOOKUP(B364,'CPF Table'!$A$4:$G$8,5,TRUE)*CPF!D364,VLOOKUP(B364,'CPF Table'!$A$4:$G$8,5,TRUE)*CPF!C364+VLOOKUP(B364,'CPF Table'!$A$4:$G$8,5,TRUE)*CPF!D364)</f>
        <v>0</v>
      </c>
      <c r="G364" s="18">
        <f>VLOOKUP(B364,'CPF Table'!$A$13:$E$23,3,TRUE)*F364</f>
        <v>0</v>
      </c>
      <c r="H364" s="18">
        <f>VLOOKUP(B364,'CPF Table'!$A$13:$E$23,4,TRUE)*CPF!F364</f>
        <v>0</v>
      </c>
      <c r="I364" s="18">
        <f>VLOOKUP(B364,'CPF Table'!$A$13:$E$23,5,TRUE)*CPF!F364</f>
        <v>0</v>
      </c>
      <c r="J364" s="103">
        <f t="shared" si="10"/>
        <v>0</v>
      </c>
    </row>
    <row r="365" spans="3:10">
      <c r="C365" s="126">
        <v>0</v>
      </c>
      <c r="D365" s="127">
        <v>0</v>
      </c>
      <c r="E365" s="82">
        <f t="shared" si="11"/>
        <v>0</v>
      </c>
      <c r="F365" s="18">
        <f>IF(VLOOKUP(B365,'CPF Table'!$A$4:$G$8,5,TRUE)*CPF!C365&gt;=VLOOKUP(B365,'CPF Table'!$A$4:$G$8,6,TRUE),VLOOKUP(B365,'CPF Table'!$A$4:$G$8,5,TRUE)*C365+VLOOKUP(B365,'CPF Table'!$A$4:$G$8,5,TRUE)*CPF!D365,VLOOKUP(B365,'CPF Table'!$A$4:$G$8,5,TRUE)*CPF!C365+VLOOKUP(B365,'CPF Table'!$A$4:$G$8,5,TRUE)*CPF!D365)</f>
        <v>0</v>
      </c>
      <c r="G365" s="18">
        <f>VLOOKUP(B365,'CPF Table'!$A$13:$E$23,3,TRUE)*F365</f>
        <v>0</v>
      </c>
      <c r="H365" s="18">
        <f>VLOOKUP(B365,'CPF Table'!$A$13:$E$23,4,TRUE)*CPF!F365</f>
        <v>0</v>
      </c>
      <c r="I365" s="18">
        <f>VLOOKUP(B365,'CPF Table'!$A$13:$E$23,5,TRUE)*CPF!F365</f>
        <v>0</v>
      </c>
      <c r="J365" s="103">
        <f t="shared" si="10"/>
        <v>0</v>
      </c>
    </row>
    <row r="366" spans="3:10">
      <c r="C366" s="126">
        <v>0</v>
      </c>
      <c r="D366" s="127">
        <v>0</v>
      </c>
      <c r="E366" s="82">
        <f t="shared" si="11"/>
        <v>0</v>
      </c>
      <c r="F366" s="18">
        <f>IF(VLOOKUP(B366,'CPF Table'!$A$4:$G$8,5,TRUE)*CPF!C366&gt;=VLOOKUP(B366,'CPF Table'!$A$4:$G$8,6,TRUE),VLOOKUP(B366,'CPF Table'!$A$4:$G$8,5,TRUE)*C366+VLOOKUP(B366,'CPF Table'!$A$4:$G$8,5,TRUE)*CPF!D366,VLOOKUP(B366,'CPF Table'!$A$4:$G$8,5,TRUE)*CPF!C366+VLOOKUP(B366,'CPF Table'!$A$4:$G$8,5,TRUE)*CPF!D366)</f>
        <v>0</v>
      </c>
      <c r="G366" s="18">
        <f>VLOOKUP(B366,'CPF Table'!$A$13:$E$23,3,TRUE)*F366</f>
        <v>0</v>
      </c>
      <c r="H366" s="18">
        <f>VLOOKUP(B366,'CPF Table'!$A$13:$E$23,4,TRUE)*CPF!F366</f>
        <v>0</v>
      </c>
      <c r="I366" s="18">
        <f>VLOOKUP(B366,'CPF Table'!$A$13:$E$23,5,TRUE)*CPF!F366</f>
        <v>0</v>
      </c>
      <c r="J366" s="103">
        <f t="shared" si="10"/>
        <v>0</v>
      </c>
    </row>
    <row r="367" spans="3:10">
      <c r="C367" s="126">
        <v>0</v>
      </c>
      <c r="D367" s="127">
        <v>0</v>
      </c>
      <c r="E367" s="82">
        <f t="shared" si="11"/>
        <v>0</v>
      </c>
      <c r="F367" s="18">
        <f>IF(VLOOKUP(B367,'CPF Table'!$A$4:$G$8,5,TRUE)*CPF!C367&gt;=VLOOKUP(B367,'CPF Table'!$A$4:$G$8,6,TRUE),VLOOKUP(B367,'CPF Table'!$A$4:$G$8,5,TRUE)*C367+VLOOKUP(B367,'CPF Table'!$A$4:$G$8,5,TRUE)*CPF!D367,VLOOKUP(B367,'CPF Table'!$A$4:$G$8,5,TRUE)*CPF!C367+VLOOKUP(B367,'CPF Table'!$A$4:$G$8,5,TRUE)*CPF!D367)</f>
        <v>0</v>
      </c>
      <c r="G367" s="18">
        <f>VLOOKUP(B367,'CPF Table'!$A$13:$E$23,3,TRUE)*F367</f>
        <v>0</v>
      </c>
      <c r="H367" s="18">
        <f>VLOOKUP(B367,'CPF Table'!$A$13:$E$23,4,TRUE)*CPF!F367</f>
        <v>0</v>
      </c>
      <c r="I367" s="18">
        <f>VLOOKUP(B367,'CPF Table'!$A$13:$E$23,5,TRUE)*CPF!F367</f>
        <v>0</v>
      </c>
      <c r="J367" s="103">
        <f t="shared" si="10"/>
        <v>0</v>
      </c>
    </row>
    <row r="368" spans="3:10">
      <c r="C368" s="126">
        <v>0</v>
      </c>
      <c r="D368" s="127">
        <v>0</v>
      </c>
      <c r="E368" s="82">
        <f t="shared" si="11"/>
        <v>0</v>
      </c>
      <c r="F368" s="18">
        <f>IF(VLOOKUP(B368,'CPF Table'!$A$4:$G$8,5,TRUE)*CPF!C368&gt;=VLOOKUP(B368,'CPF Table'!$A$4:$G$8,6,TRUE),VLOOKUP(B368,'CPF Table'!$A$4:$G$8,5,TRUE)*C368+VLOOKUP(B368,'CPF Table'!$A$4:$G$8,5,TRUE)*CPF!D368,VLOOKUP(B368,'CPF Table'!$A$4:$G$8,5,TRUE)*CPF!C368+VLOOKUP(B368,'CPF Table'!$A$4:$G$8,5,TRUE)*CPF!D368)</f>
        <v>0</v>
      </c>
      <c r="G368" s="18">
        <f>VLOOKUP(B368,'CPF Table'!$A$13:$E$23,3,TRUE)*F368</f>
        <v>0</v>
      </c>
      <c r="H368" s="18">
        <f>VLOOKUP(B368,'CPF Table'!$A$13:$E$23,4,TRUE)*CPF!F368</f>
        <v>0</v>
      </c>
      <c r="I368" s="18">
        <f>VLOOKUP(B368,'CPF Table'!$A$13:$E$23,5,TRUE)*CPF!F368</f>
        <v>0</v>
      </c>
      <c r="J368" s="103">
        <f t="shared" si="10"/>
        <v>0</v>
      </c>
    </row>
    <row r="369" spans="3:10">
      <c r="C369" s="126">
        <v>0</v>
      </c>
      <c r="D369" s="127">
        <v>0</v>
      </c>
      <c r="E369" s="82">
        <f t="shared" si="11"/>
        <v>0</v>
      </c>
      <c r="F369" s="18">
        <f>IF(VLOOKUP(B369,'CPF Table'!$A$4:$G$8,5,TRUE)*CPF!C369&gt;=VLOOKUP(B369,'CPF Table'!$A$4:$G$8,6,TRUE),VLOOKUP(B369,'CPF Table'!$A$4:$G$8,5,TRUE)*C369+VLOOKUP(B369,'CPF Table'!$A$4:$G$8,5,TRUE)*CPF!D369,VLOOKUP(B369,'CPF Table'!$A$4:$G$8,5,TRUE)*CPF!C369+VLOOKUP(B369,'CPF Table'!$A$4:$G$8,5,TRUE)*CPF!D369)</f>
        <v>0</v>
      </c>
      <c r="G369" s="18">
        <f>VLOOKUP(B369,'CPF Table'!$A$13:$E$23,3,TRUE)*F369</f>
        <v>0</v>
      </c>
      <c r="H369" s="18">
        <f>VLOOKUP(B369,'CPF Table'!$A$13:$E$23,4,TRUE)*CPF!F369</f>
        <v>0</v>
      </c>
      <c r="I369" s="18">
        <f>VLOOKUP(B369,'CPF Table'!$A$13:$E$23,5,TRUE)*CPF!F369</f>
        <v>0</v>
      </c>
      <c r="J369" s="103">
        <f t="shared" si="10"/>
        <v>0</v>
      </c>
    </row>
    <row r="370" spans="3:10">
      <c r="C370" s="126">
        <v>0</v>
      </c>
      <c r="D370" s="127">
        <v>0</v>
      </c>
      <c r="E370" s="82">
        <f t="shared" si="11"/>
        <v>0</v>
      </c>
      <c r="F370" s="18">
        <f>IF(VLOOKUP(B370,'CPF Table'!$A$4:$G$8,5,TRUE)*CPF!C370&gt;=VLOOKUP(B370,'CPF Table'!$A$4:$G$8,6,TRUE),VLOOKUP(B370,'CPF Table'!$A$4:$G$8,5,TRUE)*C370+VLOOKUP(B370,'CPF Table'!$A$4:$G$8,5,TRUE)*CPF!D370,VLOOKUP(B370,'CPF Table'!$A$4:$G$8,5,TRUE)*CPF!C370+VLOOKUP(B370,'CPF Table'!$A$4:$G$8,5,TRUE)*CPF!D370)</f>
        <v>0</v>
      </c>
      <c r="G370" s="18">
        <f>VLOOKUP(B370,'CPF Table'!$A$13:$E$23,3,TRUE)*F370</f>
        <v>0</v>
      </c>
      <c r="H370" s="18">
        <f>VLOOKUP(B370,'CPF Table'!$A$13:$E$23,4,TRUE)*CPF!F370</f>
        <v>0</v>
      </c>
      <c r="I370" s="18">
        <f>VLOOKUP(B370,'CPF Table'!$A$13:$E$23,5,TRUE)*CPF!F370</f>
        <v>0</v>
      </c>
      <c r="J370" s="103">
        <f t="shared" si="10"/>
        <v>0</v>
      </c>
    </row>
    <row r="371" spans="3:10">
      <c r="C371" s="126">
        <v>0</v>
      </c>
      <c r="D371" s="127">
        <v>0</v>
      </c>
      <c r="E371" s="82">
        <f t="shared" si="11"/>
        <v>0</v>
      </c>
      <c r="F371" s="18">
        <f>IF(VLOOKUP(B371,'CPF Table'!$A$4:$G$8,5,TRUE)*CPF!C371&gt;=VLOOKUP(B371,'CPF Table'!$A$4:$G$8,6,TRUE),VLOOKUP(B371,'CPF Table'!$A$4:$G$8,5,TRUE)*C371+VLOOKUP(B371,'CPF Table'!$A$4:$G$8,5,TRUE)*CPF!D371,VLOOKUP(B371,'CPF Table'!$A$4:$G$8,5,TRUE)*CPF!C371+VLOOKUP(B371,'CPF Table'!$A$4:$G$8,5,TRUE)*CPF!D371)</f>
        <v>0</v>
      </c>
      <c r="G371" s="18">
        <f>VLOOKUP(B371,'CPF Table'!$A$13:$E$23,3,TRUE)*F371</f>
        <v>0</v>
      </c>
      <c r="H371" s="18">
        <f>VLOOKUP(B371,'CPF Table'!$A$13:$E$23,4,TRUE)*CPF!F371</f>
        <v>0</v>
      </c>
      <c r="I371" s="18">
        <f>VLOOKUP(B371,'CPF Table'!$A$13:$E$23,5,TRUE)*CPF!F371</f>
        <v>0</v>
      </c>
      <c r="J371" s="103">
        <f t="shared" si="10"/>
        <v>0</v>
      </c>
    </row>
    <row r="372" spans="3:10">
      <c r="C372" s="126">
        <v>0</v>
      </c>
      <c r="D372" s="127">
        <v>0</v>
      </c>
      <c r="E372" s="82">
        <f t="shared" si="11"/>
        <v>0</v>
      </c>
      <c r="F372" s="18">
        <f>IF(VLOOKUP(B372,'CPF Table'!$A$4:$G$8,5,TRUE)*CPF!C372&gt;=VLOOKUP(B372,'CPF Table'!$A$4:$G$8,6,TRUE),VLOOKUP(B372,'CPF Table'!$A$4:$G$8,5,TRUE)*C372+VLOOKUP(B372,'CPF Table'!$A$4:$G$8,5,TRUE)*CPF!D372,VLOOKUP(B372,'CPF Table'!$A$4:$G$8,5,TRUE)*CPF!C372+VLOOKUP(B372,'CPF Table'!$A$4:$G$8,5,TRUE)*CPF!D372)</f>
        <v>0</v>
      </c>
      <c r="G372" s="18">
        <f>VLOOKUP(B372,'CPF Table'!$A$13:$E$23,3,TRUE)*F372</f>
        <v>0</v>
      </c>
      <c r="H372" s="18">
        <f>VLOOKUP(B372,'CPF Table'!$A$13:$E$23,4,TRUE)*CPF!F372</f>
        <v>0</v>
      </c>
      <c r="I372" s="18">
        <f>VLOOKUP(B372,'CPF Table'!$A$13:$E$23,5,TRUE)*CPF!F372</f>
        <v>0</v>
      </c>
      <c r="J372" s="103">
        <f t="shared" si="10"/>
        <v>0</v>
      </c>
    </row>
    <row r="373" spans="3:10">
      <c r="C373" s="126">
        <v>0</v>
      </c>
      <c r="D373" s="127">
        <v>0</v>
      </c>
      <c r="E373" s="82">
        <f t="shared" si="11"/>
        <v>0</v>
      </c>
      <c r="F373" s="18">
        <f>IF(VLOOKUP(B373,'CPF Table'!$A$4:$G$8,5,TRUE)*CPF!C373&gt;=VLOOKUP(B373,'CPF Table'!$A$4:$G$8,6,TRUE),VLOOKUP(B373,'CPF Table'!$A$4:$G$8,5,TRUE)*C373+VLOOKUP(B373,'CPF Table'!$A$4:$G$8,5,TRUE)*CPF!D373,VLOOKUP(B373,'CPF Table'!$A$4:$G$8,5,TRUE)*CPF!C373+VLOOKUP(B373,'CPF Table'!$A$4:$G$8,5,TRUE)*CPF!D373)</f>
        <v>0</v>
      </c>
      <c r="G373" s="18">
        <f>VLOOKUP(B373,'CPF Table'!$A$13:$E$23,3,TRUE)*F373</f>
        <v>0</v>
      </c>
      <c r="H373" s="18">
        <f>VLOOKUP(B373,'CPF Table'!$A$13:$E$23,4,TRUE)*CPF!F373</f>
        <v>0</v>
      </c>
      <c r="I373" s="18">
        <f>VLOOKUP(B373,'CPF Table'!$A$13:$E$23,5,TRUE)*CPF!F373</f>
        <v>0</v>
      </c>
      <c r="J373" s="103">
        <f t="shared" si="10"/>
        <v>0</v>
      </c>
    </row>
    <row r="374" spans="3:10">
      <c r="C374" s="126">
        <v>0</v>
      </c>
      <c r="D374" s="127">
        <v>0</v>
      </c>
      <c r="E374" s="82">
        <f t="shared" si="11"/>
        <v>0</v>
      </c>
      <c r="F374" s="18">
        <f>IF(VLOOKUP(B374,'CPF Table'!$A$4:$G$8,5,TRUE)*CPF!C374&gt;=VLOOKUP(B374,'CPF Table'!$A$4:$G$8,6,TRUE),VLOOKUP(B374,'CPF Table'!$A$4:$G$8,5,TRUE)*C374+VLOOKUP(B374,'CPF Table'!$A$4:$G$8,5,TRUE)*CPF!D374,VLOOKUP(B374,'CPF Table'!$A$4:$G$8,5,TRUE)*CPF!C374+VLOOKUP(B374,'CPF Table'!$A$4:$G$8,5,TRUE)*CPF!D374)</f>
        <v>0</v>
      </c>
      <c r="G374" s="18">
        <f>VLOOKUP(B374,'CPF Table'!$A$13:$E$23,3,TRUE)*F374</f>
        <v>0</v>
      </c>
      <c r="H374" s="18">
        <f>VLOOKUP(B374,'CPF Table'!$A$13:$E$23,4,TRUE)*CPF!F374</f>
        <v>0</v>
      </c>
      <c r="I374" s="18">
        <f>VLOOKUP(B374,'CPF Table'!$A$13:$E$23,5,TRUE)*CPF!F374</f>
        <v>0</v>
      </c>
      <c r="J374" s="103">
        <f t="shared" si="10"/>
        <v>0</v>
      </c>
    </row>
    <row r="375" spans="3:10">
      <c r="C375" s="126">
        <v>0</v>
      </c>
      <c r="D375" s="127">
        <v>0</v>
      </c>
      <c r="E375" s="82">
        <f t="shared" si="11"/>
        <v>0</v>
      </c>
      <c r="F375" s="18">
        <f>IF(VLOOKUP(B375,'CPF Table'!$A$4:$G$8,5,TRUE)*CPF!C375&gt;=VLOOKUP(B375,'CPF Table'!$A$4:$G$8,6,TRUE),VLOOKUP(B375,'CPF Table'!$A$4:$G$8,5,TRUE)*C375+VLOOKUP(B375,'CPF Table'!$A$4:$G$8,5,TRUE)*CPF!D375,VLOOKUP(B375,'CPF Table'!$A$4:$G$8,5,TRUE)*CPF!C375+VLOOKUP(B375,'CPF Table'!$A$4:$G$8,5,TRUE)*CPF!D375)</f>
        <v>0</v>
      </c>
      <c r="G375" s="18">
        <f>VLOOKUP(B375,'CPF Table'!$A$13:$E$23,3,TRUE)*F375</f>
        <v>0</v>
      </c>
      <c r="H375" s="18">
        <f>VLOOKUP(B375,'CPF Table'!$A$13:$E$23,4,TRUE)*CPF!F375</f>
        <v>0</v>
      </c>
      <c r="I375" s="18">
        <f>VLOOKUP(B375,'CPF Table'!$A$13:$E$23,5,TRUE)*CPF!F375</f>
        <v>0</v>
      </c>
      <c r="J375" s="103">
        <f t="shared" si="10"/>
        <v>0</v>
      </c>
    </row>
    <row r="376" spans="3:10">
      <c r="C376" s="126">
        <v>0</v>
      </c>
      <c r="D376" s="127">
        <v>0</v>
      </c>
      <c r="E376" s="82">
        <f t="shared" si="11"/>
        <v>0</v>
      </c>
      <c r="F376" s="18">
        <f>IF(VLOOKUP(B376,'CPF Table'!$A$4:$G$8,5,TRUE)*CPF!C376&gt;=VLOOKUP(B376,'CPF Table'!$A$4:$G$8,6,TRUE),VLOOKUP(B376,'CPF Table'!$A$4:$G$8,5,TRUE)*C376+VLOOKUP(B376,'CPF Table'!$A$4:$G$8,5,TRUE)*CPF!D376,VLOOKUP(B376,'CPF Table'!$A$4:$G$8,5,TRUE)*CPF!C376+VLOOKUP(B376,'CPF Table'!$A$4:$G$8,5,TRUE)*CPF!D376)</f>
        <v>0</v>
      </c>
      <c r="G376" s="18">
        <f>VLOOKUP(B376,'CPF Table'!$A$13:$E$23,3,TRUE)*F376</f>
        <v>0</v>
      </c>
      <c r="H376" s="18">
        <f>VLOOKUP(B376,'CPF Table'!$A$13:$E$23,4,TRUE)*CPF!F376</f>
        <v>0</v>
      </c>
      <c r="I376" s="18">
        <f>VLOOKUP(B376,'CPF Table'!$A$13:$E$23,5,TRUE)*CPF!F376</f>
        <v>0</v>
      </c>
      <c r="J376" s="103">
        <f t="shared" si="10"/>
        <v>0</v>
      </c>
    </row>
    <row r="377" spans="3:10">
      <c r="C377" s="126">
        <v>0</v>
      </c>
      <c r="D377" s="127">
        <v>0</v>
      </c>
      <c r="E377" s="82">
        <f t="shared" si="11"/>
        <v>0</v>
      </c>
      <c r="F377" s="18">
        <f>IF(VLOOKUP(B377,'CPF Table'!$A$4:$G$8,5,TRUE)*CPF!C377&gt;=VLOOKUP(B377,'CPF Table'!$A$4:$G$8,6,TRUE),VLOOKUP(B377,'CPF Table'!$A$4:$G$8,5,TRUE)*C377+VLOOKUP(B377,'CPF Table'!$A$4:$G$8,5,TRUE)*CPF!D377,VLOOKUP(B377,'CPF Table'!$A$4:$G$8,5,TRUE)*CPF!C377+VLOOKUP(B377,'CPF Table'!$A$4:$G$8,5,TRUE)*CPF!D377)</f>
        <v>0</v>
      </c>
      <c r="G377" s="18">
        <f>VLOOKUP(B377,'CPF Table'!$A$13:$E$23,3,TRUE)*F377</f>
        <v>0</v>
      </c>
      <c r="H377" s="18">
        <f>VLOOKUP(B377,'CPF Table'!$A$13:$E$23,4,TRUE)*CPF!F377</f>
        <v>0</v>
      </c>
      <c r="I377" s="18">
        <f>VLOOKUP(B377,'CPF Table'!$A$13:$E$23,5,TRUE)*CPF!F377</f>
        <v>0</v>
      </c>
      <c r="J377" s="103">
        <f t="shared" si="10"/>
        <v>0</v>
      </c>
    </row>
    <row r="378" spans="3:10">
      <c r="C378" s="126">
        <v>0</v>
      </c>
      <c r="D378" s="127">
        <v>0</v>
      </c>
      <c r="E378" s="82">
        <f t="shared" si="11"/>
        <v>0</v>
      </c>
      <c r="F378" s="18">
        <f>IF(VLOOKUP(B378,'CPF Table'!$A$4:$G$8,5,TRUE)*CPF!C378&gt;=VLOOKUP(B378,'CPF Table'!$A$4:$G$8,6,TRUE),VLOOKUP(B378,'CPF Table'!$A$4:$G$8,5,TRUE)*C378+VLOOKUP(B378,'CPF Table'!$A$4:$G$8,5,TRUE)*CPF!D378,VLOOKUP(B378,'CPF Table'!$A$4:$G$8,5,TRUE)*CPF!C378+VLOOKUP(B378,'CPF Table'!$A$4:$G$8,5,TRUE)*CPF!D378)</f>
        <v>0</v>
      </c>
      <c r="G378" s="18">
        <f>VLOOKUP(B378,'CPF Table'!$A$13:$E$23,3,TRUE)*F378</f>
        <v>0</v>
      </c>
      <c r="H378" s="18">
        <f>VLOOKUP(B378,'CPF Table'!$A$13:$E$23,4,TRUE)*CPF!F378</f>
        <v>0</v>
      </c>
      <c r="I378" s="18">
        <f>VLOOKUP(B378,'CPF Table'!$A$13:$E$23,5,TRUE)*CPF!F378</f>
        <v>0</v>
      </c>
      <c r="J378" s="103">
        <f t="shared" si="10"/>
        <v>0</v>
      </c>
    </row>
    <row r="379" spans="3:10">
      <c r="C379" s="126">
        <v>0</v>
      </c>
      <c r="D379" s="127">
        <v>0</v>
      </c>
      <c r="E379" s="82">
        <f t="shared" si="11"/>
        <v>0</v>
      </c>
      <c r="F379" s="18">
        <f>IF(VLOOKUP(B379,'CPF Table'!$A$4:$G$8,5,TRUE)*CPF!C379&gt;=VLOOKUP(B379,'CPF Table'!$A$4:$G$8,6,TRUE),VLOOKUP(B379,'CPF Table'!$A$4:$G$8,5,TRUE)*C379+VLOOKUP(B379,'CPF Table'!$A$4:$G$8,5,TRUE)*CPF!D379,VLOOKUP(B379,'CPF Table'!$A$4:$G$8,5,TRUE)*CPF!C379+VLOOKUP(B379,'CPF Table'!$A$4:$G$8,5,TRUE)*CPF!D379)</f>
        <v>0</v>
      </c>
      <c r="G379" s="18">
        <f>VLOOKUP(B379,'CPF Table'!$A$13:$E$23,3,TRUE)*F379</f>
        <v>0</v>
      </c>
      <c r="H379" s="18">
        <f>VLOOKUP(B379,'CPF Table'!$A$13:$E$23,4,TRUE)*CPF!F379</f>
        <v>0</v>
      </c>
      <c r="I379" s="18">
        <f>VLOOKUP(B379,'CPF Table'!$A$13:$E$23,5,TRUE)*CPF!F379</f>
        <v>0</v>
      </c>
      <c r="J379" s="103">
        <f t="shared" si="10"/>
        <v>0</v>
      </c>
    </row>
    <row r="380" spans="3:10">
      <c r="C380" s="126">
        <v>0</v>
      </c>
      <c r="D380" s="127">
        <v>0</v>
      </c>
      <c r="E380" s="82">
        <f t="shared" si="11"/>
        <v>0</v>
      </c>
      <c r="F380" s="18">
        <f>IF(VLOOKUP(B380,'CPF Table'!$A$4:$G$8,5,TRUE)*CPF!C380&gt;=VLOOKUP(B380,'CPF Table'!$A$4:$G$8,6,TRUE),VLOOKUP(B380,'CPF Table'!$A$4:$G$8,5,TRUE)*C380+VLOOKUP(B380,'CPF Table'!$A$4:$G$8,5,TRUE)*CPF!D380,VLOOKUP(B380,'CPF Table'!$A$4:$G$8,5,TRUE)*CPF!C380+VLOOKUP(B380,'CPF Table'!$A$4:$G$8,5,TRUE)*CPF!D380)</f>
        <v>0</v>
      </c>
      <c r="G380" s="18">
        <f>VLOOKUP(B380,'CPF Table'!$A$13:$E$23,3,TRUE)*F380</f>
        <v>0</v>
      </c>
      <c r="H380" s="18">
        <f>VLOOKUP(B380,'CPF Table'!$A$13:$E$23,4,TRUE)*CPF!F380</f>
        <v>0</v>
      </c>
      <c r="I380" s="18">
        <f>VLOOKUP(B380,'CPF Table'!$A$13:$E$23,5,TRUE)*CPF!F380</f>
        <v>0</v>
      </c>
      <c r="J380" s="103">
        <f t="shared" si="10"/>
        <v>0</v>
      </c>
    </row>
    <row r="381" spans="3:10">
      <c r="C381" s="126">
        <v>0</v>
      </c>
      <c r="D381" s="127">
        <v>0</v>
      </c>
      <c r="E381" s="82">
        <f t="shared" si="11"/>
        <v>0</v>
      </c>
      <c r="F381" s="18">
        <f>IF(VLOOKUP(B381,'CPF Table'!$A$4:$G$8,5,TRUE)*CPF!C381&gt;=VLOOKUP(B381,'CPF Table'!$A$4:$G$8,6,TRUE),VLOOKUP(B381,'CPF Table'!$A$4:$G$8,5,TRUE)*C381+VLOOKUP(B381,'CPF Table'!$A$4:$G$8,5,TRUE)*CPF!D381,VLOOKUP(B381,'CPF Table'!$A$4:$G$8,5,TRUE)*CPF!C381+VLOOKUP(B381,'CPF Table'!$A$4:$G$8,5,TRUE)*CPF!D381)</f>
        <v>0</v>
      </c>
      <c r="G381" s="18">
        <f>VLOOKUP(B381,'CPF Table'!$A$13:$E$23,3,TRUE)*F381</f>
        <v>0</v>
      </c>
      <c r="H381" s="18">
        <f>VLOOKUP(B381,'CPF Table'!$A$13:$E$23,4,TRUE)*CPF!F381</f>
        <v>0</v>
      </c>
      <c r="I381" s="18">
        <f>VLOOKUP(B381,'CPF Table'!$A$13:$E$23,5,TRUE)*CPF!F381</f>
        <v>0</v>
      </c>
      <c r="J381" s="103">
        <f t="shared" si="10"/>
        <v>0</v>
      </c>
    </row>
    <row r="382" spans="3:10">
      <c r="C382" s="126">
        <v>0</v>
      </c>
      <c r="D382" s="127">
        <v>0</v>
      </c>
      <c r="E382" s="82">
        <f t="shared" si="11"/>
        <v>0</v>
      </c>
      <c r="F382" s="18">
        <f>IF(VLOOKUP(B382,'CPF Table'!$A$4:$G$8,5,TRUE)*CPF!C382&gt;=VLOOKUP(B382,'CPF Table'!$A$4:$G$8,6,TRUE),VLOOKUP(B382,'CPF Table'!$A$4:$G$8,5,TRUE)*C382+VLOOKUP(B382,'CPF Table'!$A$4:$G$8,5,TRUE)*CPF!D382,VLOOKUP(B382,'CPF Table'!$A$4:$G$8,5,TRUE)*CPF!C382+VLOOKUP(B382,'CPF Table'!$A$4:$G$8,5,TRUE)*CPF!D382)</f>
        <v>0</v>
      </c>
      <c r="G382" s="18">
        <f>VLOOKUP(B382,'CPF Table'!$A$13:$E$23,3,TRUE)*F382</f>
        <v>0</v>
      </c>
      <c r="H382" s="18">
        <f>VLOOKUP(B382,'CPF Table'!$A$13:$E$23,4,TRUE)*CPF!F382</f>
        <v>0</v>
      </c>
      <c r="I382" s="18">
        <f>VLOOKUP(B382,'CPF Table'!$A$13:$E$23,5,TRUE)*CPF!F382</f>
        <v>0</v>
      </c>
      <c r="J382" s="103">
        <f t="shared" si="10"/>
        <v>0</v>
      </c>
    </row>
    <row r="383" spans="3:10">
      <c r="C383" s="126">
        <v>0</v>
      </c>
      <c r="D383" s="127">
        <v>0</v>
      </c>
      <c r="E383" s="82">
        <f t="shared" si="11"/>
        <v>0</v>
      </c>
      <c r="F383" s="18">
        <f>IF(VLOOKUP(B383,'CPF Table'!$A$4:$G$8,5,TRUE)*CPF!C383&gt;=VLOOKUP(B383,'CPF Table'!$A$4:$G$8,6,TRUE),VLOOKUP(B383,'CPF Table'!$A$4:$G$8,5,TRUE)*C383+VLOOKUP(B383,'CPF Table'!$A$4:$G$8,5,TRUE)*CPF!D383,VLOOKUP(B383,'CPF Table'!$A$4:$G$8,5,TRUE)*CPF!C383+VLOOKUP(B383,'CPF Table'!$A$4:$G$8,5,TRUE)*CPF!D383)</f>
        <v>0</v>
      </c>
      <c r="G383" s="18">
        <f>VLOOKUP(B383,'CPF Table'!$A$13:$E$23,3,TRUE)*F383</f>
        <v>0</v>
      </c>
      <c r="H383" s="18">
        <f>VLOOKUP(B383,'CPF Table'!$A$13:$E$23,4,TRUE)*CPF!F383</f>
        <v>0</v>
      </c>
      <c r="I383" s="18">
        <f>VLOOKUP(B383,'CPF Table'!$A$13:$E$23,5,TRUE)*CPF!F383</f>
        <v>0</v>
      </c>
      <c r="J383" s="103">
        <f t="shared" si="10"/>
        <v>0</v>
      </c>
    </row>
    <row r="384" spans="3:10">
      <c r="C384" s="126">
        <v>0</v>
      </c>
      <c r="D384" s="127">
        <v>0</v>
      </c>
      <c r="E384" s="82">
        <f t="shared" si="11"/>
        <v>0</v>
      </c>
      <c r="F384" s="18">
        <f>IF(VLOOKUP(B384,'CPF Table'!$A$4:$G$8,5,TRUE)*CPF!C384&gt;=VLOOKUP(B384,'CPF Table'!$A$4:$G$8,6,TRUE),VLOOKUP(B384,'CPF Table'!$A$4:$G$8,5,TRUE)*C384+VLOOKUP(B384,'CPF Table'!$A$4:$G$8,5,TRUE)*CPF!D384,VLOOKUP(B384,'CPF Table'!$A$4:$G$8,5,TRUE)*CPF!C384+VLOOKUP(B384,'CPF Table'!$A$4:$G$8,5,TRUE)*CPF!D384)</f>
        <v>0</v>
      </c>
      <c r="G384" s="18">
        <f>VLOOKUP(B384,'CPF Table'!$A$13:$E$23,3,TRUE)*F384</f>
        <v>0</v>
      </c>
      <c r="H384" s="18">
        <f>VLOOKUP(B384,'CPF Table'!$A$13:$E$23,4,TRUE)*CPF!F384</f>
        <v>0</v>
      </c>
      <c r="I384" s="18">
        <f>VLOOKUP(B384,'CPF Table'!$A$13:$E$23,5,TRUE)*CPF!F384</f>
        <v>0</v>
      </c>
      <c r="J384" s="103">
        <f t="shared" si="10"/>
        <v>0</v>
      </c>
    </row>
    <row r="385" spans="3:10">
      <c r="C385" s="126">
        <v>0</v>
      </c>
      <c r="D385" s="127">
        <v>0</v>
      </c>
      <c r="E385" s="82">
        <f t="shared" si="11"/>
        <v>0</v>
      </c>
      <c r="F385" s="18">
        <f>IF(VLOOKUP(B385,'CPF Table'!$A$4:$G$8,5,TRUE)*CPF!C385&gt;=VLOOKUP(B385,'CPF Table'!$A$4:$G$8,6,TRUE),VLOOKUP(B385,'CPF Table'!$A$4:$G$8,5,TRUE)*C385+VLOOKUP(B385,'CPF Table'!$A$4:$G$8,5,TRUE)*CPF!D385,VLOOKUP(B385,'CPF Table'!$A$4:$G$8,5,TRUE)*CPF!C385+VLOOKUP(B385,'CPF Table'!$A$4:$G$8,5,TRUE)*CPF!D385)</f>
        <v>0</v>
      </c>
      <c r="G385" s="18">
        <f>VLOOKUP(B385,'CPF Table'!$A$13:$E$23,3,TRUE)*F385</f>
        <v>0</v>
      </c>
      <c r="H385" s="18">
        <f>VLOOKUP(B385,'CPF Table'!$A$13:$E$23,4,TRUE)*CPF!F385</f>
        <v>0</v>
      </c>
      <c r="I385" s="18">
        <f>VLOOKUP(B385,'CPF Table'!$A$13:$E$23,5,TRUE)*CPF!F385</f>
        <v>0</v>
      </c>
      <c r="J385" s="103">
        <f t="shared" si="10"/>
        <v>0</v>
      </c>
    </row>
    <row r="386" spans="3:10">
      <c r="C386" s="126">
        <v>0</v>
      </c>
      <c r="D386" s="127">
        <v>0</v>
      </c>
      <c r="E386" s="82">
        <f t="shared" si="11"/>
        <v>0</v>
      </c>
      <c r="F386" s="18">
        <f>IF(VLOOKUP(B386,'CPF Table'!$A$4:$G$8,5,TRUE)*CPF!C386&gt;=VLOOKUP(B386,'CPF Table'!$A$4:$G$8,6,TRUE),VLOOKUP(B386,'CPF Table'!$A$4:$G$8,5,TRUE)*C386+VLOOKUP(B386,'CPF Table'!$A$4:$G$8,5,TRUE)*CPF!D386,VLOOKUP(B386,'CPF Table'!$A$4:$G$8,5,TRUE)*CPF!C386+VLOOKUP(B386,'CPF Table'!$A$4:$G$8,5,TRUE)*CPF!D386)</f>
        <v>0</v>
      </c>
      <c r="G386" s="18">
        <f>VLOOKUP(B386,'CPF Table'!$A$13:$E$23,3,TRUE)*F386</f>
        <v>0</v>
      </c>
      <c r="H386" s="18">
        <f>VLOOKUP(B386,'CPF Table'!$A$13:$E$23,4,TRUE)*CPF!F386</f>
        <v>0</v>
      </c>
      <c r="I386" s="18">
        <f>VLOOKUP(B386,'CPF Table'!$A$13:$E$23,5,TRUE)*CPF!F386</f>
        <v>0</v>
      </c>
      <c r="J386" s="103">
        <f t="shared" si="10"/>
        <v>0</v>
      </c>
    </row>
    <row r="387" spans="3:10">
      <c r="C387" s="126">
        <v>0</v>
      </c>
      <c r="D387" s="127">
        <v>0</v>
      </c>
      <c r="E387" s="82">
        <f t="shared" si="11"/>
        <v>0</v>
      </c>
      <c r="F387" s="18">
        <f>IF(VLOOKUP(B387,'CPF Table'!$A$4:$G$8,5,TRUE)*CPF!C387&gt;=VLOOKUP(B387,'CPF Table'!$A$4:$G$8,6,TRUE),VLOOKUP(B387,'CPF Table'!$A$4:$G$8,5,TRUE)*C387+VLOOKUP(B387,'CPF Table'!$A$4:$G$8,5,TRUE)*CPF!D387,VLOOKUP(B387,'CPF Table'!$A$4:$G$8,5,TRUE)*CPF!C387+VLOOKUP(B387,'CPF Table'!$A$4:$G$8,5,TRUE)*CPF!D387)</f>
        <v>0</v>
      </c>
      <c r="G387" s="18">
        <f>VLOOKUP(B387,'CPF Table'!$A$13:$E$23,3,TRUE)*F387</f>
        <v>0</v>
      </c>
      <c r="H387" s="18">
        <f>VLOOKUP(B387,'CPF Table'!$A$13:$E$23,4,TRUE)*CPF!F387</f>
        <v>0</v>
      </c>
      <c r="I387" s="18">
        <f>VLOOKUP(B387,'CPF Table'!$A$13:$E$23,5,TRUE)*CPF!F387</f>
        <v>0</v>
      </c>
      <c r="J387" s="103">
        <f t="shared" si="10"/>
        <v>0</v>
      </c>
    </row>
    <row r="388" spans="3:10">
      <c r="C388" s="126">
        <v>0</v>
      </c>
      <c r="D388" s="127">
        <v>0</v>
      </c>
      <c r="E388" s="82">
        <f t="shared" si="11"/>
        <v>0</v>
      </c>
      <c r="F388" s="18">
        <f>IF(VLOOKUP(B388,'CPF Table'!$A$4:$G$8,5,TRUE)*CPF!C388&gt;=VLOOKUP(B388,'CPF Table'!$A$4:$G$8,6,TRUE),VLOOKUP(B388,'CPF Table'!$A$4:$G$8,5,TRUE)*C388+VLOOKUP(B388,'CPF Table'!$A$4:$G$8,5,TRUE)*CPF!D388,VLOOKUP(B388,'CPF Table'!$A$4:$G$8,5,TRUE)*CPF!C388+VLOOKUP(B388,'CPF Table'!$A$4:$G$8,5,TRUE)*CPF!D388)</f>
        <v>0</v>
      </c>
      <c r="G388" s="18">
        <f>VLOOKUP(B388,'CPF Table'!$A$13:$E$23,3,TRUE)*F388</f>
        <v>0</v>
      </c>
      <c r="H388" s="18">
        <f>VLOOKUP(B388,'CPF Table'!$A$13:$E$23,4,TRUE)*CPF!F388</f>
        <v>0</v>
      </c>
      <c r="I388" s="18">
        <f>VLOOKUP(B388,'CPF Table'!$A$13:$E$23,5,TRUE)*CPF!F388</f>
        <v>0</v>
      </c>
      <c r="J388" s="103">
        <f t="shared" si="10"/>
        <v>0</v>
      </c>
    </row>
    <row r="389" spans="3:10">
      <c r="C389" s="126">
        <v>0</v>
      </c>
      <c r="D389" s="127">
        <v>0</v>
      </c>
      <c r="E389" s="82">
        <f t="shared" si="11"/>
        <v>0</v>
      </c>
      <c r="F389" s="18">
        <f>IF(VLOOKUP(B389,'CPF Table'!$A$4:$G$8,5,TRUE)*CPF!C389&gt;=VLOOKUP(B389,'CPF Table'!$A$4:$G$8,6,TRUE),VLOOKUP(B389,'CPF Table'!$A$4:$G$8,5,TRUE)*C389+VLOOKUP(B389,'CPF Table'!$A$4:$G$8,5,TRUE)*CPF!D389,VLOOKUP(B389,'CPF Table'!$A$4:$G$8,5,TRUE)*CPF!C389+VLOOKUP(B389,'CPF Table'!$A$4:$G$8,5,TRUE)*CPF!D389)</f>
        <v>0</v>
      </c>
      <c r="G389" s="18">
        <f>VLOOKUP(B389,'CPF Table'!$A$13:$E$23,3,TRUE)*F389</f>
        <v>0</v>
      </c>
      <c r="H389" s="18">
        <f>VLOOKUP(B389,'CPF Table'!$A$13:$E$23,4,TRUE)*CPF!F389</f>
        <v>0</v>
      </c>
      <c r="I389" s="18">
        <f>VLOOKUP(B389,'CPF Table'!$A$13:$E$23,5,TRUE)*CPF!F389</f>
        <v>0</v>
      </c>
      <c r="J389" s="103">
        <f t="shared" si="10"/>
        <v>0</v>
      </c>
    </row>
    <row r="390" spans="3:10">
      <c r="C390" s="126">
        <v>0</v>
      </c>
      <c r="D390" s="127">
        <v>0</v>
      </c>
      <c r="E390" s="82">
        <f t="shared" si="11"/>
        <v>0</v>
      </c>
      <c r="F390" s="18">
        <f>IF(VLOOKUP(B390,'CPF Table'!$A$4:$G$8,5,TRUE)*CPF!C390&gt;=VLOOKUP(B390,'CPF Table'!$A$4:$G$8,6,TRUE),VLOOKUP(B390,'CPF Table'!$A$4:$G$8,5,TRUE)*C390+VLOOKUP(B390,'CPF Table'!$A$4:$G$8,5,TRUE)*CPF!D390,VLOOKUP(B390,'CPF Table'!$A$4:$G$8,5,TRUE)*CPF!C390+VLOOKUP(B390,'CPF Table'!$A$4:$G$8,5,TRUE)*CPF!D390)</f>
        <v>0</v>
      </c>
      <c r="G390" s="18">
        <f>VLOOKUP(B390,'CPF Table'!$A$13:$E$23,3,TRUE)*F390</f>
        <v>0</v>
      </c>
      <c r="H390" s="18">
        <f>VLOOKUP(B390,'CPF Table'!$A$13:$E$23,4,TRUE)*CPF!F390</f>
        <v>0</v>
      </c>
      <c r="I390" s="18">
        <f>VLOOKUP(B390,'CPF Table'!$A$13:$E$23,5,TRUE)*CPF!F390</f>
        <v>0</v>
      </c>
      <c r="J390" s="103">
        <f t="shared" si="10"/>
        <v>0</v>
      </c>
    </row>
    <row r="391" spans="3:10">
      <c r="C391" s="126">
        <v>0</v>
      </c>
      <c r="D391" s="127">
        <v>0</v>
      </c>
      <c r="E391" s="82">
        <f t="shared" si="11"/>
        <v>0</v>
      </c>
      <c r="F391" s="18">
        <f>IF(VLOOKUP(B391,'CPF Table'!$A$4:$G$8,5,TRUE)*CPF!C391&gt;=VLOOKUP(B391,'CPF Table'!$A$4:$G$8,6,TRUE),VLOOKUP(B391,'CPF Table'!$A$4:$G$8,5,TRUE)*C391+VLOOKUP(B391,'CPF Table'!$A$4:$G$8,5,TRUE)*CPF!D391,VLOOKUP(B391,'CPF Table'!$A$4:$G$8,5,TRUE)*CPF!C391+VLOOKUP(B391,'CPF Table'!$A$4:$G$8,5,TRUE)*CPF!D391)</f>
        <v>0</v>
      </c>
      <c r="G391" s="18">
        <f>VLOOKUP(B391,'CPF Table'!$A$13:$E$23,3,TRUE)*F391</f>
        <v>0</v>
      </c>
      <c r="H391" s="18">
        <f>VLOOKUP(B391,'CPF Table'!$A$13:$E$23,4,TRUE)*CPF!F391</f>
        <v>0</v>
      </c>
      <c r="I391" s="18">
        <f>VLOOKUP(B391,'CPF Table'!$A$13:$E$23,5,TRUE)*CPF!F391</f>
        <v>0</v>
      </c>
      <c r="J391" s="103">
        <f t="shared" si="10"/>
        <v>0</v>
      </c>
    </row>
    <row r="392" spans="3:10">
      <c r="C392" s="126">
        <v>0</v>
      </c>
      <c r="D392" s="127">
        <v>0</v>
      </c>
      <c r="E392" s="82">
        <f t="shared" si="11"/>
        <v>0</v>
      </c>
      <c r="F392" s="18">
        <f>IF(VLOOKUP(B392,'CPF Table'!$A$4:$G$8,5,TRUE)*CPF!C392&gt;=VLOOKUP(B392,'CPF Table'!$A$4:$G$8,6,TRUE),VLOOKUP(B392,'CPF Table'!$A$4:$G$8,5,TRUE)*C392+VLOOKUP(B392,'CPF Table'!$A$4:$G$8,5,TRUE)*CPF!D392,VLOOKUP(B392,'CPF Table'!$A$4:$G$8,5,TRUE)*CPF!C392+VLOOKUP(B392,'CPF Table'!$A$4:$G$8,5,TRUE)*CPF!D392)</f>
        <v>0</v>
      </c>
      <c r="G392" s="18">
        <f>VLOOKUP(B392,'CPF Table'!$A$13:$E$23,3,TRUE)*F392</f>
        <v>0</v>
      </c>
      <c r="H392" s="18">
        <f>VLOOKUP(B392,'CPF Table'!$A$13:$E$23,4,TRUE)*CPF!F392</f>
        <v>0</v>
      </c>
      <c r="I392" s="18">
        <f>VLOOKUP(B392,'CPF Table'!$A$13:$E$23,5,TRUE)*CPF!F392</f>
        <v>0</v>
      </c>
      <c r="J392" s="103">
        <f t="shared" si="10"/>
        <v>0</v>
      </c>
    </row>
    <row r="393" spans="3:10">
      <c r="C393" s="126">
        <v>0</v>
      </c>
      <c r="D393" s="127">
        <v>0</v>
      </c>
      <c r="E393" s="82">
        <f t="shared" si="11"/>
        <v>0</v>
      </c>
      <c r="F393" s="18">
        <f>IF(VLOOKUP(B393,'CPF Table'!$A$4:$G$8,5,TRUE)*CPF!C393&gt;=VLOOKUP(B393,'CPF Table'!$A$4:$G$8,6,TRUE),VLOOKUP(B393,'CPF Table'!$A$4:$G$8,5,TRUE)*C393+VLOOKUP(B393,'CPF Table'!$A$4:$G$8,5,TRUE)*CPF!D393,VLOOKUP(B393,'CPF Table'!$A$4:$G$8,5,TRUE)*CPF!C393+VLOOKUP(B393,'CPF Table'!$A$4:$G$8,5,TRUE)*CPF!D393)</f>
        <v>0</v>
      </c>
      <c r="G393" s="18">
        <f>VLOOKUP(B393,'CPF Table'!$A$13:$E$23,3,TRUE)*F393</f>
        <v>0</v>
      </c>
      <c r="H393" s="18">
        <f>VLOOKUP(B393,'CPF Table'!$A$13:$E$23,4,TRUE)*CPF!F393</f>
        <v>0</v>
      </c>
      <c r="I393" s="18">
        <f>VLOOKUP(B393,'CPF Table'!$A$13:$E$23,5,TRUE)*CPF!F393</f>
        <v>0</v>
      </c>
      <c r="J393" s="103">
        <f t="shared" si="10"/>
        <v>0</v>
      </c>
    </row>
    <row r="394" spans="3:10">
      <c r="C394" s="126">
        <v>0</v>
      </c>
      <c r="D394" s="127">
        <v>0</v>
      </c>
      <c r="E394" s="82">
        <f t="shared" si="11"/>
        <v>0</v>
      </c>
      <c r="F394" s="18">
        <f>IF(VLOOKUP(B394,'CPF Table'!$A$4:$G$8,5,TRUE)*CPF!C394&gt;=VLOOKUP(B394,'CPF Table'!$A$4:$G$8,6,TRUE),VLOOKUP(B394,'CPF Table'!$A$4:$G$8,5,TRUE)*C394+VLOOKUP(B394,'CPF Table'!$A$4:$G$8,5,TRUE)*CPF!D394,VLOOKUP(B394,'CPF Table'!$A$4:$G$8,5,TRUE)*CPF!C394+VLOOKUP(B394,'CPF Table'!$A$4:$G$8,5,TRUE)*CPF!D394)</f>
        <v>0</v>
      </c>
      <c r="G394" s="18">
        <f>VLOOKUP(B394,'CPF Table'!$A$13:$E$23,3,TRUE)*F394</f>
        <v>0</v>
      </c>
      <c r="H394" s="18">
        <f>VLOOKUP(B394,'CPF Table'!$A$13:$E$23,4,TRUE)*CPF!F394</f>
        <v>0</v>
      </c>
      <c r="I394" s="18">
        <f>VLOOKUP(B394,'CPF Table'!$A$13:$E$23,5,TRUE)*CPF!F394</f>
        <v>0</v>
      </c>
      <c r="J394" s="103">
        <f t="shared" si="10"/>
        <v>0</v>
      </c>
    </row>
    <row r="395" spans="3:10">
      <c r="C395" s="126">
        <v>0</v>
      </c>
      <c r="D395" s="127">
        <v>0</v>
      </c>
      <c r="E395" s="82">
        <f t="shared" si="11"/>
        <v>0</v>
      </c>
      <c r="F395" s="18">
        <f>IF(VLOOKUP(B395,'CPF Table'!$A$4:$G$8,5,TRUE)*CPF!C395&gt;=VLOOKUP(B395,'CPF Table'!$A$4:$G$8,6,TRUE),VLOOKUP(B395,'CPF Table'!$A$4:$G$8,5,TRUE)*C395+VLOOKUP(B395,'CPF Table'!$A$4:$G$8,5,TRUE)*CPF!D395,VLOOKUP(B395,'CPF Table'!$A$4:$G$8,5,TRUE)*CPF!C395+VLOOKUP(B395,'CPF Table'!$A$4:$G$8,5,TRUE)*CPF!D395)</f>
        <v>0</v>
      </c>
      <c r="G395" s="18">
        <f>VLOOKUP(B395,'CPF Table'!$A$13:$E$23,3,TRUE)*F395</f>
        <v>0</v>
      </c>
      <c r="H395" s="18">
        <f>VLOOKUP(B395,'CPF Table'!$A$13:$E$23,4,TRUE)*CPF!F395</f>
        <v>0</v>
      </c>
      <c r="I395" s="18">
        <f>VLOOKUP(B395,'CPF Table'!$A$13:$E$23,5,TRUE)*CPF!F395</f>
        <v>0</v>
      </c>
      <c r="J395" s="103">
        <f t="shared" si="10"/>
        <v>0</v>
      </c>
    </row>
    <row r="396" spans="3:10">
      <c r="C396" s="126">
        <v>0</v>
      </c>
      <c r="D396" s="127">
        <v>0</v>
      </c>
      <c r="E396" s="82">
        <f t="shared" si="11"/>
        <v>0</v>
      </c>
      <c r="F396" s="18">
        <f>IF(VLOOKUP(B396,'CPF Table'!$A$4:$G$8,5,TRUE)*CPF!C396&gt;=VLOOKUP(B396,'CPF Table'!$A$4:$G$8,6,TRUE),VLOOKUP(B396,'CPF Table'!$A$4:$G$8,5,TRUE)*C396+VLOOKUP(B396,'CPF Table'!$A$4:$G$8,5,TRUE)*CPF!D396,VLOOKUP(B396,'CPF Table'!$A$4:$G$8,5,TRUE)*CPF!C396+VLOOKUP(B396,'CPF Table'!$A$4:$G$8,5,TRUE)*CPF!D396)</f>
        <v>0</v>
      </c>
      <c r="G396" s="18">
        <f>VLOOKUP(B396,'CPF Table'!$A$13:$E$23,3,TRUE)*F396</f>
        <v>0</v>
      </c>
      <c r="H396" s="18">
        <f>VLOOKUP(B396,'CPF Table'!$A$13:$E$23,4,TRUE)*CPF!F396</f>
        <v>0</v>
      </c>
      <c r="I396" s="18">
        <f>VLOOKUP(B396,'CPF Table'!$A$13:$E$23,5,TRUE)*CPF!F396</f>
        <v>0</v>
      </c>
      <c r="J396" s="103">
        <f t="shared" si="10"/>
        <v>0</v>
      </c>
    </row>
    <row r="397" spans="3:10">
      <c r="C397" s="126">
        <v>0</v>
      </c>
      <c r="D397" s="127">
        <v>0</v>
      </c>
      <c r="E397" s="82">
        <f t="shared" si="11"/>
        <v>0</v>
      </c>
      <c r="F397" s="18">
        <f>IF(VLOOKUP(B397,'CPF Table'!$A$4:$G$8,5,TRUE)*CPF!C397&gt;=VLOOKUP(B397,'CPF Table'!$A$4:$G$8,6,TRUE),VLOOKUP(B397,'CPF Table'!$A$4:$G$8,5,TRUE)*C397+VLOOKUP(B397,'CPF Table'!$A$4:$G$8,5,TRUE)*CPF!D397,VLOOKUP(B397,'CPF Table'!$A$4:$G$8,5,TRUE)*CPF!C397+VLOOKUP(B397,'CPF Table'!$A$4:$G$8,5,TRUE)*CPF!D397)</f>
        <v>0</v>
      </c>
      <c r="G397" s="18">
        <f>VLOOKUP(B397,'CPF Table'!$A$13:$E$23,3,TRUE)*F397</f>
        <v>0</v>
      </c>
      <c r="H397" s="18">
        <f>VLOOKUP(B397,'CPF Table'!$A$13:$E$23,4,TRUE)*CPF!F397</f>
        <v>0</v>
      </c>
      <c r="I397" s="18">
        <f>VLOOKUP(B397,'CPF Table'!$A$13:$E$23,5,TRUE)*CPF!F397</f>
        <v>0</v>
      </c>
      <c r="J397" s="103">
        <f t="shared" si="10"/>
        <v>0</v>
      </c>
    </row>
    <row r="398" spans="3:10">
      <c r="C398" s="126">
        <v>0</v>
      </c>
      <c r="D398" s="127">
        <v>0</v>
      </c>
      <c r="E398" s="82">
        <f t="shared" si="11"/>
        <v>0</v>
      </c>
      <c r="F398" s="18">
        <f>IF(VLOOKUP(B398,'CPF Table'!$A$4:$G$8,5,TRUE)*CPF!C398&gt;=VLOOKUP(B398,'CPF Table'!$A$4:$G$8,6,TRUE),VLOOKUP(B398,'CPF Table'!$A$4:$G$8,5,TRUE)*C398+VLOOKUP(B398,'CPF Table'!$A$4:$G$8,5,TRUE)*CPF!D398,VLOOKUP(B398,'CPF Table'!$A$4:$G$8,5,TRUE)*CPF!C398+VLOOKUP(B398,'CPF Table'!$A$4:$G$8,5,TRUE)*CPF!D398)</f>
        <v>0</v>
      </c>
      <c r="G398" s="18">
        <f>VLOOKUP(B398,'CPF Table'!$A$13:$E$23,3,TRUE)*F398</f>
        <v>0</v>
      </c>
      <c r="H398" s="18">
        <f>VLOOKUP(B398,'CPF Table'!$A$13:$E$23,4,TRUE)*CPF!F398</f>
        <v>0</v>
      </c>
      <c r="I398" s="18">
        <f>VLOOKUP(B398,'CPF Table'!$A$13:$E$23,5,TRUE)*CPF!F398</f>
        <v>0</v>
      </c>
      <c r="J398" s="103">
        <f t="shared" ref="J398:J461" si="12">E398-F398</f>
        <v>0</v>
      </c>
    </row>
    <row r="399" spans="3:10">
      <c r="C399" s="126">
        <v>0</v>
      </c>
      <c r="D399" s="127">
        <v>0</v>
      </c>
      <c r="E399" s="82">
        <f t="shared" ref="E399:E462" si="13">C399+D399</f>
        <v>0</v>
      </c>
      <c r="F399" s="18">
        <f>IF(VLOOKUP(B399,'CPF Table'!$A$4:$G$8,5,TRUE)*CPF!C399&gt;=VLOOKUP(B399,'CPF Table'!$A$4:$G$8,6,TRUE),VLOOKUP(B399,'CPF Table'!$A$4:$G$8,5,TRUE)*C399+VLOOKUP(B399,'CPF Table'!$A$4:$G$8,5,TRUE)*CPF!D399,VLOOKUP(B399,'CPF Table'!$A$4:$G$8,5,TRUE)*CPF!C399+VLOOKUP(B399,'CPF Table'!$A$4:$G$8,5,TRUE)*CPF!D399)</f>
        <v>0</v>
      </c>
      <c r="G399" s="18">
        <f>VLOOKUP(B399,'CPF Table'!$A$13:$E$23,3,TRUE)*F399</f>
        <v>0</v>
      </c>
      <c r="H399" s="18">
        <f>VLOOKUP(B399,'CPF Table'!$A$13:$E$23,4,TRUE)*CPF!F399</f>
        <v>0</v>
      </c>
      <c r="I399" s="18">
        <f>VLOOKUP(B399,'CPF Table'!$A$13:$E$23,5,TRUE)*CPF!F399</f>
        <v>0</v>
      </c>
      <c r="J399" s="103">
        <f t="shared" si="12"/>
        <v>0</v>
      </c>
    </row>
    <row r="400" spans="3:10">
      <c r="C400" s="126">
        <v>0</v>
      </c>
      <c r="D400" s="127">
        <v>0</v>
      </c>
      <c r="E400" s="82">
        <f t="shared" si="13"/>
        <v>0</v>
      </c>
      <c r="F400" s="18">
        <f>IF(VLOOKUP(B400,'CPF Table'!$A$4:$G$8,5,TRUE)*CPF!C400&gt;=VLOOKUP(B400,'CPF Table'!$A$4:$G$8,6,TRUE),VLOOKUP(B400,'CPF Table'!$A$4:$G$8,5,TRUE)*C400+VLOOKUP(B400,'CPF Table'!$A$4:$G$8,5,TRUE)*CPF!D400,VLOOKUP(B400,'CPF Table'!$A$4:$G$8,5,TRUE)*CPF!C400+VLOOKUP(B400,'CPF Table'!$A$4:$G$8,5,TRUE)*CPF!D400)</f>
        <v>0</v>
      </c>
      <c r="G400" s="18">
        <f>VLOOKUP(B400,'CPF Table'!$A$13:$E$23,3,TRUE)*F400</f>
        <v>0</v>
      </c>
      <c r="H400" s="18">
        <f>VLOOKUP(B400,'CPF Table'!$A$13:$E$23,4,TRUE)*CPF!F400</f>
        <v>0</v>
      </c>
      <c r="I400" s="18">
        <f>VLOOKUP(B400,'CPF Table'!$A$13:$E$23,5,TRUE)*CPF!F400</f>
        <v>0</v>
      </c>
      <c r="J400" s="103">
        <f t="shared" si="12"/>
        <v>0</v>
      </c>
    </row>
    <row r="401" spans="3:10">
      <c r="C401" s="126">
        <v>0</v>
      </c>
      <c r="D401" s="127">
        <v>0</v>
      </c>
      <c r="E401" s="82">
        <f t="shared" si="13"/>
        <v>0</v>
      </c>
      <c r="F401" s="18">
        <f>IF(VLOOKUP(B401,'CPF Table'!$A$4:$G$8,5,TRUE)*CPF!C401&gt;=VLOOKUP(B401,'CPF Table'!$A$4:$G$8,6,TRUE),VLOOKUP(B401,'CPF Table'!$A$4:$G$8,5,TRUE)*C401+VLOOKUP(B401,'CPF Table'!$A$4:$G$8,5,TRUE)*CPF!D401,VLOOKUP(B401,'CPF Table'!$A$4:$G$8,5,TRUE)*CPF!C401+VLOOKUP(B401,'CPF Table'!$A$4:$G$8,5,TRUE)*CPF!D401)</f>
        <v>0</v>
      </c>
      <c r="G401" s="18">
        <f>VLOOKUP(B401,'CPF Table'!$A$13:$E$23,3,TRUE)*F401</f>
        <v>0</v>
      </c>
      <c r="H401" s="18">
        <f>VLOOKUP(B401,'CPF Table'!$A$13:$E$23,4,TRUE)*CPF!F401</f>
        <v>0</v>
      </c>
      <c r="I401" s="18">
        <f>VLOOKUP(B401,'CPF Table'!$A$13:$E$23,5,TRUE)*CPF!F401</f>
        <v>0</v>
      </c>
      <c r="J401" s="103">
        <f t="shared" si="12"/>
        <v>0</v>
      </c>
    </row>
    <row r="402" spans="3:10">
      <c r="C402" s="126">
        <v>0</v>
      </c>
      <c r="D402" s="127">
        <v>0</v>
      </c>
      <c r="E402" s="82">
        <f t="shared" si="13"/>
        <v>0</v>
      </c>
      <c r="F402" s="18">
        <f>IF(VLOOKUP(B402,'CPF Table'!$A$4:$G$8,5,TRUE)*CPF!C402&gt;=VLOOKUP(B402,'CPF Table'!$A$4:$G$8,6,TRUE),VLOOKUP(B402,'CPF Table'!$A$4:$G$8,5,TRUE)*C402+VLOOKUP(B402,'CPF Table'!$A$4:$G$8,5,TRUE)*CPF!D402,VLOOKUP(B402,'CPF Table'!$A$4:$G$8,5,TRUE)*CPF!C402+VLOOKUP(B402,'CPF Table'!$A$4:$G$8,5,TRUE)*CPF!D402)</f>
        <v>0</v>
      </c>
      <c r="G402" s="18">
        <f>VLOOKUP(B402,'CPF Table'!$A$13:$E$23,3,TRUE)*F402</f>
        <v>0</v>
      </c>
      <c r="H402" s="18">
        <f>VLOOKUP(B402,'CPF Table'!$A$13:$E$23,4,TRUE)*CPF!F402</f>
        <v>0</v>
      </c>
      <c r="I402" s="18">
        <f>VLOOKUP(B402,'CPF Table'!$A$13:$E$23,5,TRUE)*CPF!F402</f>
        <v>0</v>
      </c>
      <c r="J402" s="103">
        <f t="shared" si="12"/>
        <v>0</v>
      </c>
    </row>
    <row r="403" spans="3:10">
      <c r="C403" s="126">
        <v>0</v>
      </c>
      <c r="D403" s="127">
        <v>0</v>
      </c>
      <c r="E403" s="82">
        <f t="shared" si="13"/>
        <v>0</v>
      </c>
      <c r="F403" s="18">
        <f>IF(VLOOKUP(B403,'CPF Table'!$A$4:$G$8,5,TRUE)*CPF!C403&gt;=VLOOKUP(B403,'CPF Table'!$A$4:$G$8,6,TRUE),VLOOKUP(B403,'CPF Table'!$A$4:$G$8,5,TRUE)*C403+VLOOKUP(B403,'CPF Table'!$A$4:$G$8,5,TRUE)*CPF!D403,VLOOKUP(B403,'CPF Table'!$A$4:$G$8,5,TRUE)*CPF!C403+VLOOKUP(B403,'CPF Table'!$A$4:$G$8,5,TRUE)*CPF!D403)</f>
        <v>0</v>
      </c>
      <c r="G403" s="18">
        <f>VLOOKUP(B403,'CPF Table'!$A$13:$E$23,3,TRUE)*F403</f>
        <v>0</v>
      </c>
      <c r="H403" s="18">
        <f>VLOOKUP(B403,'CPF Table'!$A$13:$E$23,4,TRUE)*CPF!F403</f>
        <v>0</v>
      </c>
      <c r="I403" s="18">
        <f>VLOOKUP(B403,'CPF Table'!$A$13:$E$23,5,TRUE)*CPF!F403</f>
        <v>0</v>
      </c>
      <c r="J403" s="103">
        <f t="shared" si="12"/>
        <v>0</v>
      </c>
    </row>
    <row r="404" spans="3:10">
      <c r="C404" s="126">
        <v>0</v>
      </c>
      <c r="D404" s="127">
        <v>0</v>
      </c>
      <c r="E404" s="82">
        <f t="shared" si="13"/>
        <v>0</v>
      </c>
      <c r="F404" s="18">
        <f>IF(VLOOKUP(B404,'CPF Table'!$A$4:$G$8,5,TRUE)*CPF!C404&gt;=VLOOKUP(B404,'CPF Table'!$A$4:$G$8,6,TRUE),VLOOKUP(B404,'CPF Table'!$A$4:$G$8,5,TRUE)*C404+VLOOKUP(B404,'CPF Table'!$A$4:$G$8,5,TRUE)*CPF!D404,VLOOKUP(B404,'CPF Table'!$A$4:$G$8,5,TRUE)*CPF!C404+VLOOKUP(B404,'CPF Table'!$A$4:$G$8,5,TRUE)*CPF!D404)</f>
        <v>0</v>
      </c>
      <c r="G404" s="18">
        <f>VLOOKUP(B404,'CPF Table'!$A$13:$E$23,3,TRUE)*F404</f>
        <v>0</v>
      </c>
      <c r="H404" s="18">
        <f>VLOOKUP(B404,'CPF Table'!$A$13:$E$23,4,TRUE)*CPF!F404</f>
        <v>0</v>
      </c>
      <c r="I404" s="18">
        <f>VLOOKUP(B404,'CPF Table'!$A$13:$E$23,5,TRUE)*CPF!F404</f>
        <v>0</v>
      </c>
      <c r="J404" s="103">
        <f t="shared" si="12"/>
        <v>0</v>
      </c>
    </row>
    <row r="405" spans="3:10">
      <c r="C405" s="126">
        <v>0</v>
      </c>
      <c r="D405" s="127">
        <v>0</v>
      </c>
      <c r="E405" s="82">
        <f t="shared" si="13"/>
        <v>0</v>
      </c>
      <c r="F405" s="18">
        <f>IF(VLOOKUP(B405,'CPF Table'!$A$4:$G$8,5,TRUE)*CPF!C405&gt;=VLOOKUP(B405,'CPF Table'!$A$4:$G$8,6,TRUE),VLOOKUP(B405,'CPF Table'!$A$4:$G$8,5,TRUE)*C405+VLOOKUP(B405,'CPF Table'!$A$4:$G$8,5,TRUE)*CPF!D405,VLOOKUP(B405,'CPF Table'!$A$4:$G$8,5,TRUE)*CPF!C405+VLOOKUP(B405,'CPF Table'!$A$4:$G$8,5,TRUE)*CPF!D405)</f>
        <v>0</v>
      </c>
      <c r="G405" s="18">
        <f>VLOOKUP(B405,'CPF Table'!$A$13:$E$23,3,TRUE)*F405</f>
        <v>0</v>
      </c>
      <c r="H405" s="18">
        <f>VLOOKUP(B405,'CPF Table'!$A$13:$E$23,4,TRUE)*CPF!F405</f>
        <v>0</v>
      </c>
      <c r="I405" s="18">
        <f>VLOOKUP(B405,'CPF Table'!$A$13:$E$23,5,TRUE)*CPF!F405</f>
        <v>0</v>
      </c>
      <c r="J405" s="103">
        <f t="shared" si="12"/>
        <v>0</v>
      </c>
    </row>
    <row r="406" spans="3:10">
      <c r="C406" s="126">
        <v>0</v>
      </c>
      <c r="D406" s="127">
        <v>0</v>
      </c>
      <c r="E406" s="82">
        <f t="shared" si="13"/>
        <v>0</v>
      </c>
      <c r="F406" s="18">
        <f>IF(VLOOKUP(B406,'CPF Table'!$A$4:$G$8,5,TRUE)*CPF!C406&gt;=VLOOKUP(B406,'CPF Table'!$A$4:$G$8,6,TRUE),VLOOKUP(B406,'CPF Table'!$A$4:$G$8,5,TRUE)*C406+VLOOKUP(B406,'CPF Table'!$A$4:$G$8,5,TRUE)*CPF!D406,VLOOKUP(B406,'CPF Table'!$A$4:$G$8,5,TRUE)*CPF!C406+VLOOKUP(B406,'CPF Table'!$A$4:$G$8,5,TRUE)*CPF!D406)</f>
        <v>0</v>
      </c>
      <c r="G406" s="18">
        <f>VLOOKUP(B406,'CPF Table'!$A$13:$E$23,3,TRUE)*F406</f>
        <v>0</v>
      </c>
      <c r="H406" s="18">
        <f>VLOOKUP(B406,'CPF Table'!$A$13:$E$23,4,TRUE)*CPF!F406</f>
        <v>0</v>
      </c>
      <c r="I406" s="18">
        <f>VLOOKUP(B406,'CPF Table'!$A$13:$E$23,5,TRUE)*CPF!F406</f>
        <v>0</v>
      </c>
      <c r="J406" s="103">
        <f t="shared" si="12"/>
        <v>0</v>
      </c>
    </row>
    <row r="407" spans="3:10">
      <c r="C407" s="126">
        <v>0</v>
      </c>
      <c r="D407" s="127">
        <v>0</v>
      </c>
      <c r="E407" s="82">
        <f t="shared" si="13"/>
        <v>0</v>
      </c>
      <c r="F407" s="18">
        <f>IF(VLOOKUP(B407,'CPF Table'!$A$4:$G$8,5,TRUE)*CPF!C407&gt;=VLOOKUP(B407,'CPF Table'!$A$4:$G$8,6,TRUE),VLOOKUP(B407,'CPF Table'!$A$4:$G$8,5,TRUE)*C407+VLOOKUP(B407,'CPF Table'!$A$4:$G$8,5,TRUE)*CPF!D407,VLOOKUP(B407,'CPF Table'!$A$4:$G$8,5,TRUE)*CPF!C407+VLOOKUP(B407,'CPF Table'!$A$4:$G$8,5,TRUE)*CPF!D407)</f>
        <v>0</v>
      </c>
      <c r="G407" s="18">
        <f>VLOOKUP(B407,'CPF Table'!$A$13:$E$23,3,TRUE)*F407</f>
        <v>0</v>
      </c>
      <c r="H407" s="18">
        <f>VLOOKUP(B407,'CPF Table'!$A$13:$E$23,4,TRUE)*CPF!F407</f>
        <v>0</v>
      </c>
      <c r="I407" s="18">
        <f>VLOOKUP(B407,'CPF Table'!$A$13:$E$23,5,TRUE)*CPF!F407</f>
        <v>0</v>
      </c>
      <c r="J407" s="103">
        <f t="shared" si="12"/>
        <v>0</v>
      </c>
    </row>
    <row r="408" spans="3:10">
      <c r="C408" s="126">
        <v>0</v>
      </c>
      <c r="D408" s="127">
        <v>0</v>
      </c>
      <c r="E408" s="82">
        <f t="shared" si="13"/>
        <v>0</v>
      </c>
      <c r="F408" s="18">
        <f>IF(VLOOKUP(B408,'CPF Table'!$A$4:$G$8,5,TRUE)*CPF!C408&gt;=VLOOKUP(B408,'CPF Table'!$A$4:$G$8,6,TRUE),VLOOKUP(B408,'CPF Table'!$A$4:$G$8,5,TRUE)*C408+VLOOKUP(B408,'CPF Table'!$A$4:$G$8,5,TRUE)*CPF!D408,VLOOKUP(B408,'CPF Table'!$A$4:$G$8,5,TRUE)*CPF!C408+VLOOKUP(B408,'CPF Table'!$A$4:$G$8,5,TRUE)*CPF!D408)</f>
        <v>0</v>
      </c>
      <c r="G408" s="18">
        <f>VLOOKUP(B408,'CPF Table'!$A$13:$E$23,3,TRUE)*F408</f>
        <v>0</v>
      </c>
      <c r="H408" s="18">
        <f>VLOOKUP(B408,'CPF Table'!$A$13:$E$23,4,TRUE)*CPF!F408</f>
        <v>0</v>
      </c>
      <c r="I408" s="18">
        <f>VLOOKUP(B408,'CPF Table'!$A$13:$E$23,5,TRUE)*CPF!F408</f>
        <v>0</v>
      </c>
      <c r="J408" s="103">
        <f t="shared" si="12"/>
        <v>0</v>
      </c>
    </row>
    <row r="409" spans="3:10">
      <c r="C409" s="126">
        <v>0</v>
      </c>
      <c r="D409" s="127">
        <v>0</v>
      </c>
      <c r="E409" s="82">
        <f t="shared" si="13"/>
        <v>0</v>
      </c>
      <c r="F409" s="18">
        <f>IF(VLOOKUP(B409,'CPF Table'!$A$4:$G$8,5,TRUE)*CPF!C409&gt;=VLOOKUP(B409,'CPF Table'!$A$4:$G$8,6,TRUE),VLOOKUP(B409,'CPF Table'!$A$4:$G$8,5,TRUE)*C409+VLOOKUP(B409,'CPF Table'!$A$4:$G$8,5,TRUE)*CPF!D409,VLOOKUP(B409,'CPF Table'!$A$4:$G$8,5,TRUE)*CPF!C409+VLOOKUP(B409,'CPF Table'!$A$4:$G$8,5,TRUE)*CPF!D409)</f>
        <v>0</v>
      </c>
      <c r="G409" s="18">
        <f>VLOOKUP(B409,'CPF Table'!$A$13:$E$23,3,TRUE)*F409</f>
        <v>0</v>
      </c>
      <c r="H409" s="18">
        <f>VLOOKUP(B409,'CPF Table'!$A$13:$E$23,4,TRUE)*CPF!F409</f>
        <v>0</v>
      </c>
      <c r="I409" s="18">
        <f>VLOOKUP(B409,'CPF Table'!$A$13:$E$23,5,TRUE)*CPF!F409</f>
        <v>0</v>
      </c>
      <c r="J409" s="103">
        <f t="shared" si="12"/>
        <v>0</v>
      </c>
    </row>
    <row r="410" spans="3:10">
      <c r="C410" s="126">
        <v>0</v>
      </c>
      <c r="D410" s="127">
        <v>0</v>
      </c>
      <c r="E410" s="82">
        <f t="shared" si="13"/>
        <v>0</v>
      </c>
      <c r="F410" s="18">
        <f>IF(VLOOKUP(B410,'CPF Table'!$A$4:$G$8,5,TRUE)*CPF!C410&gt;=VLOOKUP(B410,'CPF Table'!$A$4:$G$8,6,TRUE),VLOOKUP(B410,'CPF Table'!$A$4:$G$8,5,TRUE)*C410+VLOOKUP(B410,'CPF Table'!$A$4:$G$8,5,TRUE)*CPF!D410,VLOOKUP(B410,'CPF Table'!$A$4:$G$8,5,TRUE)*CPF!C410+VLOOKUP(B410,'CPF Table'!$A$4:$G$8,5,TRUE)*CPF!D410)</f>
        <v>0</v>
      </c>
      <c r="G410" s="18">
        <f>VLOOKUP(B410,'CPF Table'!$A$13:$E$23,3,TRUE)*F410</f>
        <v>0</v>
      </c>
      <c r="H410" s="18">
        <f>VLOOKUP(B410,'CPF Table'!$A$13:$E$23,4,TRUE)*CPF!F410</f>
        <v>0</v>
      </c>
      <c r="I410" s="18">
        <f>VLOOKUP(B410,'CPF Table'!$A$13:$E$23,5,TRUE)*CPF!F410</f>
        <v>0</v>
      </c>
      <c r="J410" s="103">
        <f t="shared" si="12"/>
        <v>0</v>
      </c>
    </row>
    <row r="411" spans="3:10">
      <c r="C411" s="126">
        <v>0</v>
      </c>
      <c r="D411" s="127">
        <v>0</v>
      </c>
      <c r="E411" s="82">
        <f t="shared" si="13"/>
        <v>0</v>
      </c>
      <c r="F411" s="18">
        <f>IF(VLOOKUP(B411,'CPF Table'!$A$4:$G$8,5,TRUE)*CPF!C411&gt;=VLOOKUP(B411,'CPF Table'!$A$4:$G$8,6,TRUE),VLOOKUP(B411,'CPF Table'!$A$4:$G$8,5,TRUE)*C411+VLOOKUP(B411,'CPF Table'!$A$4:$G$8,5,TRUE)*CPF!D411,VLOOKUP(B411,'CPF Table'!$A$4:$G$8,5,TRUE)*CPF!C411+VLOOKUP(B411,'CPF Table'!$A$4:$G$8,5,TRUE)*CPF!D411)</f>
        <v>0</v>
      </c>
      <c r="G411" s="18">
        <f>VLOOKUP(B411,'CPF Table'!$A$13:$E$23,3,TRUE)*F411</f>
        <v>0</v>
      </c>
      <c r="H411" s="18">
        <f>VLOOKUP(B411,'CPF Table'!$A$13:$E$23,4,TRUE)*CPF!F411</f>
        <v>0</v>
      </c>
      <c r="I411" s="18">
        <f>VLOOKUP(B411,'CPF Table'!$A$13:$E$23,5,TRUE)*CPF!F411</f>
        <v>0</v>
      </c>
      <c r="J411" s="103">
        <f t="shared" si="12"/>
        <v>0</v>
      </c>
    </row>
    <row r="412" spans="3:10">
      <c r="C412" s="126">
        <v>0</v>
      </c>
      <c r="D412" s="127">
        <v>0</v>
      </c>
      <c r="E412" s="82">
        <f t="shared" si="13"/>
        <v>0</v>
      </c>
      <c r="F412" s="18">
        <f>IF(VLOOKUP(B412,'CPF Table'!$A$4:$G$8,5,TRUE)*CPF!C412&gt;=VLOOKUP(B412,'CPF Table'!$A$4:$G$8,6,TRUE),VLOOKUP(B412,'CPF Table'!$A$4:$G$8,5,TRUE)*C412+VLOOKUP(B412,'CPF Table'!$A$4:$G$8,5,TRUE)*CPF!D412,VLOOKUP(B412,'CPF Table'!$A$4:$G$8,5,TRUE)*CPF!C412+VLOOKUP(B412,'CPF Table'!$A$4:$G$8,5,TRUE)*CPF!D412)</f>
        <v>0</v>
      </c>
      <c r="G412" s="18">
        <f>VLOOKUP(B412,'CPF Table'!$A$13:$E$23,3,TRUE)*F412</f>
        <v>0</v>
      </c>
      <c r="H412" s="18">
        <f>VLOOKUP(B412,'CPF Table'!$A$13:$E$23,4,TRUE)*CPF!F412</f>
        <v>0</v>
      </c>
      <c r="I412" s="18">
        <f>VLOOKUP(B412,'CPF Table'!$A$13:$E$23,5,TRUE)*CPF!F412</f>
        <v>0</v>
      </c>
      <c r="J412" s="103">
        <f t="shared" si="12"/>
        <v>0</v>
      </c>
    </row>
    <row r="413" spans="3:10">
      <c r="C413" s="126">
        <v>0</v>
      </c>
      <c r="D413" s="127">
        <v>0</v>
      </c>
      <c r="E413" s="82">
        <f t="shared" si="13"/>
        <v>0</v>
      </c>
      <c r="F413" s="18">
        <f>IF(VLOOKUP(B413,'CPF Table'!$A$4:$G$8,5,TRUE)*CPF!C413&gt;=VLOOKUP(B413,'CPF Table'!$A$4:$G$8,6,TRUE),VLOOKUP(B413,'CPF Table'!$A$4:$G$8,5,TRUE)*C413+VLOOKUP(B413,'CPF Table'!$A$4:$G$8,5,TRUE)*CPF!D413,VLOOKUP(B413,'CPF Table'!$A$4:$G$8,5,TRUE)*CPF!C413+VLOOKUP(B413,'CPF Table'!$A$4:$G$8,5,TRUE)*CPF!D413)</f>
        <v>0</v>
      </c>
      <c r="G413" s="18">
        <f>VLOOKUP(B413,'CPF Table'!$A$13:$E$23,3,TRUE)*F413</f>
        <v>0</v>
      </c>
      <c r="H413" s="18">
        <f>VLOOKUP(B413,'CPF Table'!$A$13:$E$23,4,TRUE)*CPF!F413</f>
        <v>0</v>
      </c>
      <c r="I413" s="18">
        <f>VLOOKUP(B413,'CPF Table'!$A$13:$E$23,5,TRUE)*CPF!F413</f>
        <v>0</v>
      </c>
      <c r="J413" s="103">
        <f t="shared" si="12"/>
        <v>0</v>
      </c>
    </row>
    <row r="414" spans="3:10">
      <c r="C414" s="126">
        <v>0</v>
      </c>
      <c r="D414" s="127">
        <v>0</v>
      </c>
      <c r="E414" s="82">
        <f t="shared" si="13"/>
        <v>0</v>
      </c>
      <c r="F414" s="18">
        <f>IF(VLOOKUP(B414,'CPF Table'!$A$4:$G$8,5,TRUE)*CPF!C414&gt;=VLOOKUP(B414,'CPF Table'!$A$4:$G$8,6,TRUE),VLOOKUP(B414,'CPF Table'!$A$4:$G$8,5,TRUE)*C414+VLOOKUP(B414,'CPF Table'!$A$4:$G$8,5,TRUE)*CPF!D414,VLOOKUP(B414,'CPF Table'!$A$4:$G$8,5,TRUE)*CPF!C414+VLOOKUP(B414,'CPF Table'!$A$4:$G$8,5,TRUE)*CPF!D414)</f>
        <v>0</v>
      </c>
      <c r="G414" s="18">
        <f>VLOOKUP(B414,'CPF Table'!$A$13:$E$23,3,TRUE)*F414</f>
        <v>0</v>
      </c>
      <c r="H414" s="18">
        <f>VLOOKUP(B414,'CPF Table'!$A$13:$E$23,4,TRUE)*CPF!F414</f>
        <v>0</v>
      </c>
      <c r="I414" s="18">
        <f>VLOOKUP(B414,'CPF Table'!$A$13:$E$23,5,TRUE)*CPF!F414</f>
        <v>0</v>
      </c>
      <c r="J414" s="103">
        <f t="shared" si="12"/>
        <v>0</v>
      </c>
    </row>
    <row r="415" spans="3:10">
      <c r="C415" s="126">
        <v>0</v>
      </c>
      <c r="D415" s="127">
        <v>0</v>
      </c>
      <c r="E415" s="82">
        <f t="shared" si="13"/>
        <v>0</v>
      </c>
      <c r="F415" s="18">
        <f>IF(VLOOKUP(B415,'CPF Table'!$A$4:$G$8,5,TRUE)*CPF!C415&gt;=VLOOKUP(B415,'CPF Table'!$A$4:$G$8,6,TRUE),VLOOKUP(B415,'CPF Table'!$A$4:$G$8,5,TRUE)*C415+VLOOKUP(B415,'CPF Table'!$A$4:$G$8,5,TRUE)*CPF!D415,VLOOKUP(B415,'CPF Table'!$A$4:$G$8,5,TRUE)*CPF!C415+VLOOKUP(B415,'CPF Table'!$A$4:$G$8,5,TRUE)*CPF!D415)</f>
        <v>0</v>
      </c>
      <c r="G415" s="18">
        <f>VLOOKUP(B415,'CPF Table'!$A$13:$E$23,3,TRUE)*F415</f>
        <v>0</v>
      </c>
      <c r="H415" s="18">
        <f>VLOOKUP(B415,'CPF Table'!$A$13:$E$23,4,TRUE)*CPF!F415</f>
        <v>0</v>
      </c>
      <c r="I415" s="18">
        <f>VLOOKUP(B415,'CPF Table'!$A$13:$E$23,5,TRUE)*CPF!F415</f>
        <v>0</v>
      </c>
      <c r="J415" s="103">
        <f t="shared" si="12"/>
        <v>0</v>
      </c>
    </row>
    <row r="416" spans="3:10">
      <c r="C416" s="126">
        <v>0</v>
      </c>
      <c r="D416" s="127">
        <v>0</v>
      </c>
      <c r="E416" s="82">
        <f t="shared" si="13"/>
        <v>0</v>
      </c>
      <c r="F416" s="18">
        <f>IF(VLOOKUP(B416,'CPF Table'!$A$4:$G$8,5,TRUE)*CPF!C416&gt;=VLOOKUP(B416,'CPF Table'!$A$4:$G$8,6,TRUE),VLOOKUP(B416,'CPF Table'!$A$4:$G$8,5,TRUE)*C416+VLOOKUP(B416,'CPF Table'!$A$4:$G$8,5,TRUE)*CPF!D416,VLOOKUP(B416,'CPF Table'!$A$4:$G$8,5,TRUE)*CPF!C416+VLOOKUP(B416,'CPF Table'!$A$4:$G$8,5,TRUE)*CPF!D416)</f>
        <v>0</v>
      </c>
      <c r="G416" s="18">
        <f>VLOOKUP(B416,'CPF Table'!$A$13:$E$23,3,TRUE)*F416</f>
        <v>0</v>
      </c>
      <c r="H416" s="18">
        <f>VLOOKUP(B416,'CPF Table'!$A$13:$E$23,4,TRUE)*CPF!F416</f>
        <v>0</v>
      </c>
      <c r="I416" s="18">
        <f>VLOOKUP(B416,'CPF Table'!$A$13:$E$23,5,TRUE)*CPF!F416</f>
        <v>0</v>
      </c>
      <c r="J416" s="103">
        <f t="shared" si="12"/>
        <v>0</v>
      </c>
    </row>
    <row r="417" spans="3:10">
      <c r="C417" s="126">
        <v>0</v>
      </c>
      <c r="D417" s="127">
        <v>0</v>
      </c>
      <c r="E417" s="82">
        <f t="shared" si="13"/>
        <v>0</v>
      </c>
      <c r="F417" s="18">
        <f>IF(VLOOKUP(B417,'CPF Table'!$A$4:$G$8,5,TRUE)*CPF!C417&gt;=VLOOKUP(B417,'CPF Table'!$A$4:$G$8,6,TRUE),VLOOKUP(B417,'CPF Table'!$A$4:$G$8,5,TRUE)*C417+VLOOKUP(B417,'CPF Table'!$A$4:$G$8,5,TRUE)*CPF!D417,VLOOKUP(B417,'CPF Table'!$A$4:$G$8,5,TRUE)*CPF!C417+VLOOKUP(B417,'CPF Table'!$A$4:$G$8,5,TRUE)*CPF!D417)</f>
        <v>0</v>
      </c>
      <c r="G417" s="18">
        <f>VLOOKUP(B417,'CPF Table'!$A$13:$E$23,3,TRUE)*F417</f>
        <v>0</v>
      </c>
      <c r="H417" s="18">
        <f>VLOOKUP(B417,'CPF Table'!$A$13:$E$23,4,TRUE)*CPF!F417</f>
        <v>0</v>
      </c>
      <c r="I417" s="18">
        <f>VLOOKUP(B417,'CPF Table'!$A$13:$E$23,5,TRUE)*CPF!F417</f>
        <v>0</v>
      </c>
      <c r="J417" s="103">
        <f t="shared" si="12"/>
        <v>0</v>
      </c>
    </row>
    <row r="418" spans="3:10">
      <c r="C418" s="126">
        <v>0</v>
      </c>
      <c r="D418" s="127">
        <v>0</v>
      </c>
      <c r="E418" s="82">
        <f t="shared" si="13"/>
        <v>0</v>
      </c>
      <c r="F418" s="18">
        <f>IF(VLOOKUP(B418,'CPF Table'!$A$4:$G$8,5,TRUE)*CPF!C418&gt;=VLOOKUP(B418,'CPF Table'!$A$4:$G$8,6,TRUE),VLOOKUP(B418,'CPF Table'!$A$4:$G$8,5,TRUE)*C418+VLOOKUP(B418,'CPF Table'!$A$4:$G$8,5,TRUE)*CPF!D418,VLOOKUP(B418,'CPF Table'!$A$4:$G$8,5,TRUE)*CPF!C418+VLOOKUP(B418,'CPF Table'!$A$4:$G$8,5,TRUE)*CPF!D418)</f>
        <v>0</v>
      </c>
      <c r="G418" s="18">
        <f>VLOOKUP(B418,'CPF Table'!$A$13:$E$23,3,TRUE)*F418</f>
        <v>0</v>
      </c>
      <c r="H418" s="18">
        <f>VLOOKUP(B418,'CPF Table'!$A$13:$E$23,4,TRUE)*CPF!F418</f>
        <v>0</v>
      </c>
      <c r="I418" s="18">
        <f>VLOOKUP(B418,'CPF Table'!$A$13:$E$23,5,TRUE)*CPF!F418</f>
        <v>0</v>
      </c>
      <c r="J418" s="103">
        <f t="shared" si="12"/>
        <v>0</v>
      </c>
    </row>
    <row r="419" spans="3:10">
      <c r="C419" s="126">
        <v>0</v>
      </c>
      <c r="D419" s="127">
        <v>0</v>
      </c>
      <c r="E419" s="82">
        <f t="shared" si="13"/>
        <v>0</v>
      </c>
      <c r="F419" s="18">
        <f>IF(VLOOKUP(B419,'CPF Table'!$A$4:$G$8,5,TRUE)*CPF!C419&gt;=VLOOKUP(B419,'CPF Table'!$A$4:$G$8,6,TRUE),VLOOKUP(B419,'CPF Table'!$A$4:$G$8,5,TRUE)*C419+VLOOKUP(B419,'CPF Table'!$A$4:$G$8,5,TRUE)*CPF!D419,VLOOKUP(B419,'CPF Table'!$A$4:$G$8,5,TRUE)*CPF!C419+VLOOKUP(B419,'CPF Table'!$A$4:$G$8,5,TRUE)*CPF!D419)</f>
        <v>0</v>
      </c>
      <c r="G419" s="18">
        <f>VLOOKUP(B419,'CPF Table'!$A$13:$E$23,3,TRUE)*F419</f>
        <v>0</v>
      </c>
      <c r="H419" s="18">
        <f>VLOOKUP(B419,'CPF Table'!$A$13:$E$23,4,TRUE)*CPF!F419</f>
        <v>0</v>
      </c>
      <c r="I419" s="18">
        <f>VLOOKUP(B419,'CPF Table'!$A$13:$E$23,5,TRUE)*CPF!F419</f>
        <v>0</v>
      </c>
      <c r="J419" s="103">
        <f t="shared" si="12"/>
        <v>0</v>
      </c>
    </row>
    <row r="420" spans="3:10">
      <c r="C420" s="126">
        <v>0</v>
      </c>
      <c r="D420" s="127">
        <v>0</v>
      </c>
      <c r="E420" s="82">
        <f t="shared" si="13"/>
        <v>0</v>
      </c>
      <c r="F420" s="18">
        <f>IF(VLOOKUP(B420,'CPF Table'!$A$4:$G$8,5,TRUE)*CPF!C420&gt;=VLOOKUP(B420,'CPF Table'!$A$4:$G$8,6,TRUE),VLOOKUP(B420,'CPF Table'!$A$4:$G$8,5,TRUE)*C420+VLOOKUP(B420,'CPF Table'!$A$4:$G$8,5,TRUE)*CPF!D420,VLOOKUP(B420,'CPF Table'!$A$4:$G$8,5,TRUE)*CPF!C420+VLOOKUP(B420,'CPF Table'!$A$4:$G$8,5,TRUE)*CPF!D420)</f>
        <v>0</v>
      </c>
      <c r="G420" s="18">
        <f>VLOOKUP(B420,'CPF Table'!$A$13:$E$23,3,TRUE)*F420</f>
        <v>0</v>
      </c>
      <c r="H420" s="18">
        <f>VLOOKUP(B420,'CPF Table'!$A$13:$E$23,4,TRUE)*CPF!F420</f>
        <v>0</v>
      </c>
      <c r="I420" s="18">
        <f>VLOOKUP(B420,'CPF Table'!$A$13:$E$23,5,TRUE)*CPF!F420</f>
        <v>0</v>
      </c>
      <c r="J420" s="103">
        <f t="shared" si="12"/>
        <v>0</v>
      </c>
    </row>
    <row r="421" spans="3:10">
      <c r="C421" s="126">
        <v>0</v>
      </c>
      <c r="D421" s="127">
        <v>0</v>
      </c>
      <c r="E421" s="82">
        <f t="shared" si="13"/>
        <v>0</v>
      </c>
      <c r="F421" s="18">
        <f>IF(VLOOKUP(B421,'CPF Table'!$A$4:$G$8,5,TRUE)*CPF!C421&gt;=VLOOKUP(B421,'CPF Table'!$A$4:$G$8,6,TRUE),VLOOKUP(B421,'CPF Table'!$A$4:$G$8,5,TRUE)*C421+VLOOKUP(B421,'CPF Table'!$A$4:$G$8,5,TRUE)*CPF!D421,VLOOKUP(B421,'CPF Table'!$A$4:$G$8,5,TRUE)*CPF!C421+VLOOKUP(B421,'CPF Table'!$A$4:$G$8,5,TRUE)*CPF!D421)</f>
        <v>0</v>
      </c>
      <c r="G421" s="18">
        <f>VLOOKUP(B421,'CPF Table'!$A$13:$E$23,3,TRUE)*F421</f>
        <v>0</v>
      </c>
      <c r="H421" s="18">
        <f>VLOOKUP(B421,'CPF Table'!$A$13:$E$23,4,TRUE)*CPF!F421</f>
        <v>0</v>
      </c>
      <c r="I421" s="18">
        <f>VLOOKUP(B421,'CPF Table'!$A$13:$E$23,5,TRUE)*CPF!F421</f>
        <v>0</v>
      </c>
      <c r="J421" s="103">
        <f t="shared" si="12"/>
        <v>0</v>
      </c>
    </row>
    <row r="422" spans="3:10">
      <c r="C422" s="126">
        <v>0</v>
      </c>
      <c r="D422" s="127">
        <v>0</v>
      </c>
      <c r="E422" s="82">
        <f t="shared" si="13"/>
        <v>0</v>
      </c>
      <c r="F422" s="18">
        <f>IF(VLOOKUP(B422,'CPF Table'!$A$4:$G$8,5,TRUE)*CPF!C422&gt;=VLOOKUP(B422,'CPF Table'!$A$4:$G$8,6,TRUE),VLOOKUP(B422,'CPF Table'!$A$4:$G$8,5,TRUE)*C422+VLOOKUP(B422,'CPF Table'!$A$4:$G$8,5,TRUE)*CPF!D422,VLOOKUP(B422,'CPF Table'!$A$4:$G$8,5,TRUE)*CPF!C422+VLOOKUP(B422,'CPF Table'!$A$4:$G$8,5,TRUE)*CPF!D422)</f>
        <v>0</v>
      </c>
      <c r="G422" s="18">
        <f>VLOOKUP(B422,'CPF Table'!$A$13:$E$23,3,TRUE)*F422</f>
        <v>0</v>
      </c>
      <c r="H422" s="18">
        <f>VLOOKUP(B422,'CPF Table'!$A$13:$E$23,4,TRUE)*CPF!F422</f>
        <v>0</v>
      </c>
      <c r="I422" s="18">
        <f>VLOOKUP(B422,'CPF Table'!$A$13:$E$23,5,TRUE)*CPF!F422</f>
        <v>0</v>
      </c>
      <c r="J422" s="103">
        <f t="shared" si="12"/>
        <v>0</v>
      </c>
    </row>
    <row r="423" spans="3:10">
      <c r="C423" s="126">
        <v>0</v>
      </c>
      <c r="D423" s="127">
        <v>0</v>
      </c>
      <c r="E423" s="82">
        <f t="shared" si="13"/>
        <v>0</v>
      </c>
      <c r="F423" s="18">
        <f>IF(VLOOKUP(B423,'CPF Table'!$A$4:$G$8,5,TRUE)*CPF!C423&gt;=VLOOKUP(B423,'CPF Table'!$A$4:$G$8,6,TRUE),VLOOKUP(B423,'CPF Table'!$A$4:$G$8,5,TRUE)*C423+VLOOKUP(B423,'CPF Table'!$A$4:$G$8,5,TRUE)*CPF!D423,VLOOKUP(B423,'CPF Table'!$A$4:$G$8,5,TRUE)*CPF!C423+VLOOKUP(B423,'CPF Table'!$A$4:$G$8,5,TRUE)*CPF!D423)</f>
        <v>0</v>
      </c>
      <c r="G423" s="18">
        <f>VLOOKUP(B423,'CPF Table'!$A$13:$E$23,3,TRUE)*F423</f>
        <v>0</v>
      </c>
      <c r="H423" s="18">
        <f>VLOOKUP(B423,'CPF Table'!$A$13:$E$23,4,TRUE)*CPF!F423</f>
        <v>0</v>
      </c>
      <c r="I423" s="18">
        <f>VLOOKUP(B423,'CPF Table'!$A$13:$E$23,5,TRUE)*CPF!F423</f>
        <v>0</v>
      </c>
      <c r="J423" s="103">
        <f t="shared" si="12"/>
        <v>0</v>
      </c>
    </row>
    <row r="424" spans="3:10">
      <c r="C424" s="126">
        <v>0</v>
      </c>
      <c r="D424" s="127">
        <v>0</v>
      </c>
      <c r="E424" s="82">
        <f t="shared" si="13"/>
        <v>0</v>
      </c>
      <c r="F424" s="18">
        <f>IF(VLOOKUP(B424,'CPF Table'!$A$4:$G$8,5,TRUE)*CPF!C424&gt;=VLOOKUP(B424,'CPF Table'!$A$4:$G$8,6,TRUE),VLOOKUP(B424,'CPF Table'!$A$4:$G$8,5,TRUE)*C424+VLOOKUP(B424,'CPF Table'!$A$4:$G$8,5,TRUE)*CPF!D424,VLOOKUP(B424,'CPF Table'!$A$4:$G$8,5,TRUE)*CPF!C424+VLOOKUP(B424,'CPF Table'!$A$4:$G$8,5,TRUE)*CPF!D424)</f>
        <v>0</v>
      </c>
      <c r="G424" s="18">
        <f>VLOOKUP(B424,'CPF Table'!$A$13:$E$23,3,TRUE)*F424</f>
        <v>0</v>
      </c>
      <c r="H424" s="18">
        <f>VLOOKUP(B424,'CPF Table'!$A$13:$E$23,4,TRUE)*CPF!F424</f>
        <v>0</v>
      </c>
      <c r="I424" s="18">
        <f>VLOOKUP(B424,'CPF Table'!$A$13:$E$23,5,TRUE)*CPF!F424</f>
        <v>0</v>
      </c>
      <c r="J424" s="103">
        <f t="shared" si="12"/>
        <v>0</v>
      </c>
    </row>
    <row r="425" spans="3:10">
      <c r="C425" s="126">
        <v>0</v>
      </c>
      <c r="D425" s="127">
        <v>0</v>
      </c>
      <c r="E425" s="82">
        <f t="shared" si="13"/>
        <v>0</v>
      </c>
      <c r="F425" s="18">
        <f>IF(VLOOKUP(B425,'CPF Table'!$A$4:$G$8,5,TRUE)*CPF!C425&gt;=VLOOKUP(B425,'CPF Table'!$A$4:$G$8,6,TRUE),VLOOKUP(B425,'CPF Table'!$A$4:$G$8,5,TRUE)*C425+VLOOKUP(B425,'CPF Table'!$A$4:$G$8,5,TRUE)*CPF!D425,VLOOKUP(B425,'CPF Table'!$A$4:$G$8,5,TRUE)*CPF!C425+VLOOKUP(B425,'CPF Table'!$A$4:$G$8,5,TRUE)*CPF!D425)</f>
        <v>0</v>
      </c>
      <c r="G425" s="18">
        <f>VLOOKUP(B425,'CPF Table'!$A$13:$E$23,3,TRUE)*F425</f>
        <v>0</v>
      </c>
      <c r="H425" s="18">
        <f>VLOOKUP(B425,'CPF Table'!$A$13:$E$23,4,TRUE)*CPF!F425</f>
        <v>0</v>
      </c>
      <c r="I425" s="18">
        <f>VLOOKUP(B425,'CPF Table'!$A$13:$E$23,5,TRUE)*CPF!F425</f>
        <v>0</v>
      </c>
      <c r="J425" s="103">
        <f t="shared" si="12"/>
        <v>0</v>
      </c>
    </row>
    <row r="426" spans="3:10">
      <c r="C426" s="126">
        <v>0</v>
      </c>
      <c r="D426" s="127">
        <v>0</v>
      </c>
      <c r="E426" s="82">
        <f t="shared" si="13"/>
        <v>0</v>
      </c>
      <c r="F426" s="18">
        <f>IF(VLOOKUP(B426,'CPF Table'!$A$4:$G$8,5,TRUE)*CPF!C426&gt;=VLOOKUP(B426,'CPF Table'!$A$4:$G$8,6,TRUE),VLOOKUP(B426,'CPF Table'!$A$4:$G$8,5,TRUE)*C426+VLOOKUP(B426,'CPF Table'!$A$4:$G$8,5,TRUE)*CPF!D426,VLOOKUP(B426,'CPF Table'!$A$4:$G$8,5,TRUE)*CPF!C426+VLOOKUP(B426,'CPF Table'!$A$4:$G$8,5,TRUE)*CPF!D426)</f>
        <v>0</v>
      </c>
      <c r="G426" s="18">
        <f>VLOOKUP(B426,'CPF Table'!$A$13:$E$23,3,TRUE)*F426</f>
        <v>0</v>
      </c>
      <c r="H426" s="18">
        <f>VLOOKUP(B426,'CPF Table'!$A$13:$E$23,4,TRUE)*CPF!F426</f>
        <v>0</v>
      </c>
      <c r="I426" s="18">
        <f>VLOOKUP(B426,'CPF Table'!$A$13:$E$23,5,TRUE)*CPF!F426</f>
        <v>0</v>
      </c>
      <c r="J426" s="103">
        <f t="shared" si="12"/>
        <v>0</v>
      </c>
    </row>
    <row r="427" spans="3:10">
      <c r="C427" s="126">
        <v>0</v>
      </c>
      <c r="D427" s="127">
        <v>0</v>
      </c>
      <c r="E427" s="82">
        <f t="shared" si="13"/>
        <v>0</v>
      </c>
      <c r="F427" s="18">
        <f>IF(VLOOKUP(B427,'CPF Table'!$A$4:$G$8,5,TRUE)*CPF!C427&gt;=VLOOKUP(B427,'CPF Table'!$A$4:$G$8,6,TRUE),VLOOKUP(B427,'CPF Table'!$A$4:$G$8,5,TRUE)*C427+VLOOKUP(B427,'CPF Table'!$A$4:$G$8,5,TRUE)*CPF!D427,VLOOKUP(B427,'CPF Table'!$A$4:$G$8,5,TRUE)*CPF!C427+VLOOKUP(B427,'CPF Table'!$A$4:$G$8,5,TRUE)*CPF!D427)</f>
        <v>0</v>
      </c>
      <c r="G427" s="18">
        <f>VLOOKUP(B427,'CPF Table'!$A$13:$E$23,3,TRUE)*F427</f>
        <v>0</v>
      </c>
      <c r="H427" s="18">
        <f>VLOOKUP(B427,'CPF Table'!$A$13:$E$23,4,TRUE)*CPF!F427</f>
        <v>0</v>
      </c>
      <c r="I427" s="18">
        <f>VLOOKUP(B427,'CPF Table'!$A$13:$E$23,5,TRUE)*CPF!F427</f>
        <v>0</v>
      </c>
      <c r="J427" s="103">
        <f t="shared" si="12"/>
        <v>0</v>
      </c>
    </row>
    <row r="428" spans="3:10">
      <c r="C428" s="126">
        <v>0</v>
      </c>
      <c r="D428" s="127">
        <v>0</v>
      </c>
      <c r="E428" s="82">
        <f t="shared" si="13"/>
        <v>0</v>
      </c>
      <c r="F428" s="18">
        <f>IF(VLOOKUP(B428,'CPF Table'!$A$4:$G$8,5,TRUE)*CPF!C428&gt;=VLOOKUP(B428,'CPF Table'!$A$4:$G$8,6,TRUE),VLOOKUP(B428,'CPF Table'!$A$4:$G$8,5,TRUE)*C428+VLOOKUP(B428,'CPF Table'!$A$4:$G$8,5,TRUE)*CPF!D428,VLOOKUP(B428,'CPF Table'!$A$4:$G$8,5,TRUE)*CPF!C428+VLOOKUP(B428,'CPF Table'!$A$4:$G$8,5,TRUE)*CPF!D428)</f>
        <v>0</v>
      </c>
      <c r="G428" s="18">
        <f>VLOOKUP(B428,'CPF Table'!$A$13:$E$23,3,TRUE)*F428</f>
        <v>0</v>
      </c>
      <c r="H428" s="18">
        <f>VLOOKUP(B428,'CPF Table'!$A$13:$E$23,4,TRUE)*CPF!F428</f>
        <v>0</v>
      </c>
      <c r="I428" s="18">
        <f>VLOOKUP(B428,'CPF Table'!$A$13:$E$23,5,TRUE)*CPF!F428</f>
        <v>0</v>
      </c>
      <c r="J428" s="103">
        <f t="shared" si="12"/>
        <v>0</v>
      </c>
    </row>
    <row r="429" spans="3:10">
      <c r="C429" s="126">
        <v>0</v>
      </c>
      <c r="D429" s="127">
        <v>0</v>
      </c>
      <c r="E429" s="82">
        <f t="shared" si="13"/>
        <v>0</v>
      </c>
      <c r="F429" s="18">
        <f>IF(VLOOKUP(B429,'CPF Table'!$A$4:$G$8,5,TRUE)*CPF!C429&gt;=VLOOKUP(B429,'CPF Table'!$A$4:$G$8,6,TRUE),VLOOKUP(B429,'CPF Table'!$A$4:$G$8,5,TRUE)*C429+VLOOKUP(B429,'CPF Table'!$A$4:$G$8,5,TRUE)*CPF!D429,VLOOKUP(B429,'CPF Table'!$A$4:$G$8,5,TRUE)*CPF!C429+VLOOKUP(B429,'CPF Table'!$A$4:$G$8,5,TRUE)*CPF!D429)</f>
        <v>0</v>
      </c>
      <c r="G429" s="18">
        <f>VLOOKUP(B429,'CPF Table'!$A$13:$E$23,3,TRUE)*F429</f>
        <v>0</v>
      </c>
      <c r="H429" s="18">
        <f>VLOOKUP(B429,'CPF Table'!$A$13:$E$23,4,TRUE)*CPF!F429</f>
        <v>0</v>
      </c>
      <c r="I429" s="18">
        <f>VLOOKUP(B429,'CPF Table'!$A$13:$E$23,5,TRUE)*CPF!F429</f>
        <v>0</v>
      </c>
      <c r="J429" s="103">
        <f t="shared" si="12"/>
        <v>0</v>
      </c>
    </row>
    <row r="430" spans="3:10">
      <c r="C430" s="126">
        <v>0</v>
      </c>
      <c r="D430" s="127">
        <v>0</v>
      </c>
      <c r="E430" s="82">
        <f t="shared" si="13"/>
        <v>0</v>
      </c>
      <c r="F430" s="18">
        <f>IF(VLOOKUP(B430,'CPF Table'!$A$4:$G$8,5,TRUE)*CPF!C430&gt;=VLOOKUP(B430,'CPF Table'!$A$4:$G$8,6,TRUE),VLOOKUP(B430,'CPF Table'!$A$4:$G$8,5,TRUE)*C430+VLOOKUP(B430,'CPF Table'!$A$4:$G$8,5,TRUE)*CPF!D430,VLOOKUP(B430,'CPF Table'!$A$4:$G$8,5,TRUE)*CPF!C430+VLOOKUP(B430,'CPF Table'!$A$4:$G$8,5,TRUE)*CPF!D430)</f>
        <v>0</v>
      </c>
      <c r="G430" s="18">
        <f>VLOOKUP(B430,'CPF Table'!$A$13:$E$23,3,TRUE)*F430</f>
        <v>0</v>
      </c>
      <c r="H430" s="18">
        <f>VLOOKUP(B430,'CPF Table'!$A$13:$E$23,4,TRUE)*CPF!F430</f>
        <v>0</v>
      </c>
      <c r="I430" s="18">
        <f>VLOOKUP(B430,'CPF Table'!$A$13:$E$23,5,TRUE)*CPF!F430</f>
        <v>0</v>
      </c>
      <c r="J430" s="103">
        <f t="shared" si="12"/>
        <v>0</v>
      </c>
    </row>
    <row r="431" spans="3:10">
      <c r="C431" s="126">
        <v>0</v>
      </c>
      <c r="D431" s="127">
        <v>0</v>
      </c>
      <c r="E431" s="82">
        <f t="shared" si="13"/>
        <v>0</v>
      </c>
      <c r="F431" s="18">
        <f>IF(VLOOKUP(B431,'CPF Table'!$A$4:$G$8,5,TRUE)*CPF!C431&gt;=VLOOKUP(B431,'CPF Table'!$A$4:$G$8,6,TRUE),VLOOKUP(B431,'CPF Table'!$A$4:$G$8,5,TRUE)*C431+VLOOKUP(B431,'CPF Table'!$A$4:$G$8,5,TRUE)*CPF!D431,VLOOKUP(B431,'CPF Table'!$A$4:$G$8,5,TRUE)*CPF!C431+VLOOKUP(B431,'CPF Table'!$A$4:$G$8,5,TRUE)*CPF!D431)</f>
        <v>0</v>
      </c>
      <c r="G431" s="18">
        <f>VLOOKUP(B431,'CPF Table'!$A$13:$E$23,3,TRUE)*F431</f>
        <v>0</v>
      </c>
      <c r="H431" s="18">
        <f>VLOOKUP(B431,'CPF Table'!$A$13:$E$23,4,TRUE)*CPF!F431</f>
        <v>0</v>
      </c>
      <c r="I431" s="18">
        <f>VLOOKUP(B431,'CPF Table'!$A$13:$E$23,5,TRUE)*CPF!F431</f>
        <v>0</v>
      </c>
      <c r="J431" s="103">
        <f t="shared" si="12"/>
        <v>0</v>
      </c>
    </row>
    <row r="432" spans="3:10">
      <c r="C432" s="126">
        <v>0</v>
      </c>
      <c r="D432" s="127">
        <v>0</v>
      </c>
      <c r="E432" s="82">
        <f t="shared" si="13"/>
        <v>0</v>
      </c>
      <c r="F432" s="18">
        <f>IF(VLOOKUP(B432,'CPF Table'!$A$4:$G$8,5,TRUE)*CPF!C432&gt;=VLOOKUP(B432,'CPF Table'!$A$4:$G$8,6,TRUE),VLOOKUP(B432,'CPF Table'!$A$4:$G$8,5,TRUE)*C432+VLOOKUP(B432,'CPF Table'!$A$4:$G$8,5,TRUE)*CPF!D432,VLOOKUP(B432,'CPF Table'!$A$4:$G$8,5,TRUE)*CPF!C432+VLOOKUP(B432,'CPF Table'!$A$4:$G$8,5,TRUE)*CPF!D432)</f>
        <v>0</v>
      </c>
      <c r="G432" s="18">
        <f>VLOOKUP(B432,'CPF Table'!$A$13:$E$23,3,TRUE)*F432</f>
        <v>0</v>
      </c>
      <c r="H432" s="18">
        <f>VLOOKUP(B432,'CPF Table'!$A$13:$E$23,4,TRUE)*CPF!F432</f>
        <v>0</v>
      </c>
      <c r="I432" s="18">
        <f>VLOOKUP(B432,'CPF Table'!$A$13:$E$23,5,TRUE)*CPF!F432</f>
        <v>0</v>
      </c>
      <c r="J432" s="103">
        <f t="shared" si="12"/>
        <v>0</v>
      </c>
    </row>
    <row r="433" spans="3:10">
      <c r="C433" s="126">
        <v>0</v>
      </c>
      <c r="D433" s="127">
        <v>0</v>
      </c>
      <c r="E433" s="82">
        <f t="shared" si="13"/>
        <v>0</v>
      </c>
      <c r="F433" s="18">
        <f>IF(VLOOKUP(B433,'CPF Table'!$A$4:$G$8,5,TRUE)*CPF!C433&gt;=VLOOKUP(B433,'CPF Table'!$A$4:$G$8,6,TRUE),VLOOKUP(B433,'CPF Table'!$A$4:$G$8,5,TRUE)*C433+VLOOKUP(B433,'CPF Table'!$A$4:$G$8,5,TRUE)*CPF!D433,VLOOKUP(B433,'CPF Table'!$A$4:$G$8,5,TRUE)*CPF!C433+VLOOKUP(B433,'CPF Table'!$A$4:$G$8,5,TRUE)*CPF!D433)</f>
        <v>0</v>
      </c>
      <c r="G433" s="18">
        <f>VLOOKUP(B433,'CPF Table'!$A$13:$E$23,3,TRUE)*F433</f>
        <v>0</v>
      </c>
      <c r="H433" s="18">
        <f>VLOOKUP(B433,'CPF Table'!$A$13:$E$23,4,TRUE)*CPF!F433</f>
        <v>0</v>
      </c>
      <c r="I433" s="18">
        <f>VLOOKUP(B433,'CPF Table'!$A$13:$E$23,5,TRUE)*CPF!F433</f>
        <v>0</v>
      </c>
      <c r="J433" s="103">
        <f t="shared" si="12"/>
        <v>0</v>
      </c>
    </row>
    <row r="434" spans="3:10">
      <c r="C434" s="126">
        <v>0</v>
      </c>
      <c r="D434" s="127">
        <v>0</v>
      </c>
      <c r="E434" s="82">
        <f t="shared" si="13"/>
        <v>0</v>
      </c>
      <c r="F434" s="18">
        <f>IF(VLOOKUP(B434,'CPF Table'!$A$4:$G$8,5,TRUE)*CPF!C434&gt;=VLOOKUP(B434,'CPF Table'!$A$4:$G$8,6,TRUE),VLOOKUP(B434,'CPF Table'!$A$4:$G$8,5,TRUE)*C434+VLOOKUP(B434,'CPF Table'!$A$4:$G$8,5,TRUE)*CPF!D434,VLOOKUP(B434,'CPF Table'!$A$4:$G$8,5,TRUE)*CPF!C434+VLOOKUP(B434,'CPF Table'!$A$4:$G$8,5,TRUE)*CPF!D434)</f>
        <v>0</v>
      </c>
      <c r="G434" s="18">
        <f>VLOOKUP(B434,'CPF Table'!$A$13:$E$23,3,TRUE)*F434</f>
        <v>0</v>
      </c>
      <c r="H434" s="18">
        <f>VLOOKUP(B434,'CPF Table'!$A$13:$E$23,4,TRUE)*CPF!F434</f>
        <v>0</v>
      </c>
      <c r="I434" s="18">
        <f>VLOOKUP(B434,'CPF Table'!$A$13:$E$23,5,TRUE)*CPF!F434</f>
        <v>0</v>
      </c>
      <c r="J434" s="103">
        <f t="shared" si="12"/>
        <v>0</v>
      </c>
    </row>
    <row r="435" spans="3:10">
      <c r="C435" s="126">
        <v>0</v>
      </c>
      <c r="D435" s="127">
        <v>0</v>
      </c>
      <c r="E435" s="82">
        <f t="shared" si="13"/>
        <v>0</v>
      </c>
      <c r="F435" s="18">
        <f>IF(VLOOKUP(B435,'CPF Table'!$A$4:$G$8,5,TRUE)*CPF!C435&gt;=VLOOKUP(B435,'CPF Table'!$A$4:$G$8,6,TRUE),VLOOKUP(B435,'CPF Table'!$A$4:$G$8,5,TRUE)*C435+VLOOKUP(B435,'CPF Table'!$A$4:$G$8,5,TRUE)*CPF!D435,VLOOKUP(B435,'CPF Table'!$A$4:$G$8,5,TRUE)*CPF!C435+VLOOKUP(B435,'CPF Table'!$A$4:$G$8,5,TRUE)*CPF!D435)</f>
        <v>0</v>
      </c>
      <c r="G435" s="18">
        <f>VLOOKUP(B435,'CPF Table'!$A$13:$E$23,3,TRUE)*F435</f>
        <v>0</v>
      </c>
      <c r="H435" s="18">
        <f>VLOOKUP(B435,'CPF Table'!$A$13:$E$23,4,TRUE)*CPF!F435</f>
        <v>0</v>
      </c>
      <c r="I435" s="18">
        <f>VLOOKUP(B435,'CPF Table'!$A$13:$E$23,5,TRUE)*CPF!F435</f>
        <v>0</v>
      </c>
      <c r="J435" s="103">
        <f t="shared" si="12"/>
        <v>0</v>
      </c>
    </row>
    <row r="436" spans="3:10">
      <c r="C436" s="126">
        <v>0</v>
      </c>
      <c r="D436" s="127">
        <v>0</v>
      </c>
      <c r="E436" s="82">
        <f t="shared" si="13"/>
        <v>0</v>
      </c>
      <c r="F436" s="18">
        <f>IF(VLOOKUP(B436,'CPF Table'!$A$4:$G$8,5,TRUE)*CPF!C436&gt;=VLOOKUP(B436,'CPF Table'!$A$4:$G$8,6,TRUE),VLOOKUP(B436,'CPF Table'!$A$4:$G$8,5,TRUE)*C436+VLOOKUP(B436,'CPF Table'!$A$4:$G$8,5,TRUE)*CPF!D436,VLOOKUP(B436,'CPF Table'!$A$4:$G$8,5,TRUE)*CPF!C436+VLOOKUP(B436,'CPF Table'!$A$4:$G$8,5,TRUE)*CPF!D436)</f>
        <v>0</v>
      </c>
      <c r="G436" s="18">
        <f>VLOOKUP(B436,'CPF Table'!$A$13:$E$23,3,TRUE)*F436</f>
        <v>0</v>
      </c>
      <c r="H436" s="18">
        <f>VLOOKUP(B436,'CPF Table'!$A$13:$E$23,4,TRUE)*CPF!F436</f>
        <v>0</v>
      </c>
      <c r="I436" s="18">
        <f>VLOOKUP(B436,'CPF Table'!$A$13:$E$23,5,TRUE)*CPF!F436</f>
        <v>0</v>
      </c>
      <c r="J436" s="103">
        <f t="shared" si="12"/>
        <v>0</v>
      </c>
    </row>
    <row r="437" spans="3:10">
      <c r="C437" s="126">
        <v>0</v>
      </c>
      <c r="D437" s="127">
        <v>0</v>
      </c>
      <c r="E437" s="82">
        <f t="shared" si="13"/>
        <v>0</v>
      </c>
      <c r="F437" s="18">
        <f>IF(VLOOKUP(B437,'CPF Table'!$A$4:$G$8,5,TRUE)*CPF!C437&gt;=VLOOKUP(B437,'CPF Table'!$A$4:$G$8,6,TRUE),VLOOKUP(B437,'CPF Table'!$A$4:$G$8,5,TRUE)*C437+VLOOKUP(B437,'CPF Table'!$A$4:$G$8,5,TRUE)*CPF!D437,VLOOKUP(B437,'CPF Table'!$A$4:$G$8,5,TRUE)*CPF!C437+VLOOKUP(B437,'CPF Table'!$A$4:$G$8,5,TRUE)*CPF!D437)</f>
        <v>0</v>
      </c>
      <c r="G437" s="18">
        <f>VLOOKUP(B437,'CPF Table'!$A$13:$E$23,3,TRUE)*F437</f>
        <v>0</v>
      </c>
      <c r="H437" s="18">
        <f>VLOOKUP(B437,'CPF Table'!$A$13:$E$23,4,TRUE)*CPF!F437</f>
        <v>0</v>
      </c>
      <c r="I437" s="18">
        <f>VLOOKUP(B437,'CPF Table'!$A$13:$E$23,5,TRUE)*CPF!F437</f>
        <v>0</v>
      </c>
      <c r="J437" s="103">
        <f t="shared" si="12"/>
        <v>0</v>
      </c>
    </row>
    <row r="438" spans="3:10">
      <c r="C438" s="126">
        <v>0</v>
      </c>
      <c r="D438" s="127">
        <v>0</v>
      </c>
      <c r="E438" s="82">
        <f t="shared" si="13"/>
        <v>0</v>
      </c>
      <c r="F438" s="18">
        <f>IF(VLOOKUP(B438,'CPF Table'!$A$4:$G$8,5,TRUE)*CPF!C438&gt;=VLOOKUP(B438,'CPF Table'!$A$4:$G$8,6,TRUE),VLOOKUP(B438,'CPF Table'!$A$4:$G$8,5,TRUE)*C438+VLOOKUP(B438,'CPF Table'!$A$4:$G$8,5,TRUE)*CPF!D438,VLOOKUP(B438,'CPF Table'!$A$4:$G$8,5,TRUE)*CPF!C438+VLOOKUP(B438,'CPF Table'!$A$4:$G$8,5,TRUE)*CPF!D438)</f>
        <v>0</v>
      </c>
      <c r="G438" s="18">
        <f>VLOOKUP(B438,'CPF Table'!$A$13:$E$23,3,TRUE)*F438</f>
        <v>0</v>
      </c>
      <c r="H438" s="18">
        <f>VLOOKUP(B438,'CPF Table'!$A$13:$E$23,4,TRUE)*CPF!F438</f>
        <v>0</v>
      </c>
      <c r="I438" s="18">
        <f>VLOOKUP(B438,'CPF Table'!$A$13:$E$23,5,TRUE)*CPF!F438</f>
        <v>0</v>
      </c>
      <c r="J438" s="103">
        <f t="shared" si="12"/>
        <v>0</v>
      </c>
    </row>
    <row r="439" spans="3:10">
      <c r="C439" s="126">
        <v>0</v>
      </c>
      <c r="D439" s="127">
        <v>0</v>
      </c>
      <c r="E439" s="82">
        <f t="shared" si="13"/>
        <v>0</v>
      </c>
      <c r="F439" s="18">
        <f>IF(VLOOKUP(B439,'CPF Table'!$A$4:$G$8,5,TRUE)*CPF!C439&gt;=VLOOKUP(B439,'CPF Table'!$A$4:$G$8,6,TRUE),VLOOKUP(B439,'CPF Table'!$A$4:$G$8,5,TRUE)*C439+VLOOKUP(B439,'CPF Table'!$A$4:$G$8,5,TRUE)*CPF!D439,VLOOKUP(B439,'CPF Table'!$A$4:$G$8,5,TRUE)*CPF!C439+VLOOKUP(B439,'CPF Table'!$A$4:$G$8,5,TRUE)*CPF!D439)</f>
        <v>0</v>
      </c>
      <c r="G439" s="18">
        <f>VLOOKUP(B439,'CPF Table'!$A$13:$E$23,3,TRUE)*F439</f>
        <v>0</v>
      </c>
      <c r="H439" s="18">
        <f>VLOOKUP(B439,'CPF Table'!$A$13:$E$23,4,TRUE)*CPF!F439</f>
        <v>0</v>
      </c>
      <c r="I439" s="18">
        <f>VLOOKUP(B439,'CPF Table'!$A$13:$E$23,5,TRUE)*CPF!F439</f>
        <v>0</v>
      </c>
      <c r="J439" s="103">
        <f t="shared" si="12"/>
        <v>0</v>
      </c>
    </row>
    <row r="440" spans="3:10">
      <c r="C440" s="126">
        <v>0</v>
      </c>
      <c r="D440" s="127">
        <v>0</v>
      </c>
      <c r="E440" s="82">
        <f t="shared" si="13"/>
        <v>0</v>
      </c>
      <c r="F440" s="18">
        <f>IF(VLOOKUP(B440,'CPF Table'!$A$4:$G$8,5,TRUE)*CPF!C440&gt;=VLOOKUP(B440,'CPF Table'!$A$4:$G$8,6,TRUE),VLOOKUP(B440,'CPF Table'!$A$4:$G$8,5,TRUE)*C440+VLOOKUP(B440,'CPF Table'!$A$4:$G$8,5,TRUE)*CPF!D440,VLOOKUP(B440,'CPF Table'!$A$4:$G$8,5,TRUE)*CPF!C440+VLOOKUP(B440,'CPF Table'!$A$4:$G$8,5,TRUE)*CPF!D440)</f>
        <v>0</v>
      </c>
      <c r="G440" s="18">
        <f>VLOOKUP(B440,'CPF Table'!$A$13:$E$23,3,TRUE)*F440</f>
        <v>0</v>
      </c>
      <c r="H440" s="18">
        <f>VLOOKUP(B440,'CPF Table'!$A$13:$E$23,4,TRUE)*CPF!F440</f>
        <v>0</v>
      </c>
      <c r="I440" s="18">
        <f>VLOOKUP(B440,'CPF Table'!$A$13:$E$23,5,TRUE)*CPF!F440</f>
        <v>0</v>
      </c>
      <c r="J440" s="103">
        <f t="shared" si="12"/>
        <v>0</v>
      </c>
    </row>
    <row r="441" spans="3:10">
      <c r="C441" s="126">
        <v>0</v>
      </c>
      <c r="D441" s="127">
        <v>0</v>
      </c>
      <c r="E441" s="82">
        <f t="shared" si="13"/>
        <v>0</v>
      </c>
      <c r="F441" s="18">
        <f>IF(VLOOKUP(B441,'CPF Table'!$A$4:$G$8,5,TRUE)*CPF!C441&gt;=VLOOKUP(B441,'CPF Table'!$A$4:$G$8,6,TRUE),VLOOKUP(B441,'CPF Table'!$A$4:$G$8,5,TRUE)*C441+VLOOKUP(B441,'CPF Table'!$A$4:$G$8,5,TRUE)*CPF!D441,VLOOKUP(B441,'CPF Table'!$A$4:$G$8,5,TRUE)*CPF!C441+VLOOKUP(B441,'CPF Table'!$A$4:$G$8,5,TRUE)*CPF!D441)</f>
        <v>0</v>
      </c>
      <c r="G441" s="18">
        <f>VLOOKUP(B441,'CPF Table'!$A$13:$E$23,3,TRUE)*F441</f>
        <v>0</v>
      </c>
      <c r="H441" s="18">
        <f>VLOOKUP(B441,'CPF Table'!$A$13:$E$23,4,TRUE)*CPF!F441</f>
        <v>0</v>
      </c>
      <c r="I441" s="18">
        <f>VLOOKUP(B441,'CPF Table'!$A$13:$E$23,5,TRUE)*CPF!F441</f>
        <v>0</v>
      </c>
      <c r="J441" s="103">
        <f t="shared" si="12"/>
        <v>0</v>
      </c>
    </row>
    <row r="442" spans="3:10">
      <c r="C442" s="126">
        <v>0</v>
      </c>
      <c r="D442" s="127">
        <v>0</v>
      </c>
      <c r="E442" s="82">
        <f t="shared" si="13"/>
        <v>0</v>
      </c>
      <c r="F442" s="18">
        <f>IF(VLOOKUP(B442,'CPF Table'!$A$4:$G$8,5,TRUE)*CPF!C442&gt;=VLOOKUP(B442,'CPF Table'!$A$4:$G$8,6,TRUE),VLOOKUP(B442,'CPF Table'!$A$4:$G$8,5,TRUE)*C442+VLOOKUP(B442,'CPF Table'!$A$4:$G$8,5,TRUE)*CPF!D442,VLOOKUP(B442,'CPF Table'!$A$4:$G$8,5,TRUE)*CPF!C442+VLOOKUP(B442,'CPF Table'!$A$4:$G$8,5,TRUE)*CPF!D442)</f>
        <v>0</v>
      </c>
      <c r="G442" s="18">
        <f>VLOOKUP(B442,'CPF Table'!$A$13:$E$23,3,TRUE)*F442</f>
        <v>0</v>
      </c>
      <c r="H442" s="18">
        <f>VLOOKUP(B442,'CPF Table'!$A$13:$E$23,4,TRUE)*CPF!F442</f>
        <v>0</v>
      </c>
      <c r="I442" s="18">
        <f>VLOOKUP(B442,'CPF Table'!$A$13:$E$23,5,TRUE)*CPF!F442</f>
        <v>0</v>
      </c>
      <c r="J442" s="103">
        <f t="shared" si="12"/>
        <v>0</v>
      </c>
    </row>
    <row r="443" spans="3:10">
      <c r="C443" s="126">
        <v>0</v>
      </c>
      <c r="D443" s="127">
        <v>0</v>
      </c>
      <c r="E443" s="82">
        <f t="shared" si="13"/>
        <v>0</v>
      </c>
      <c r="F443" s="18">
        <f>IF(VLOOKUP(B443,'CPF Table'!$A$4:$G$8,5,TRUE)*CPF!C443&gt;=VLOOKUP(B443,'CPF Table'!$A$4:$G$8,6,TRUE),VLOOKUP(B443,'CPF Table'!$A$4:$G$8,5,TRUE)*C443+VLOOKUP(B443,'CPF Table'!$A$4:$G$8,5,TRUE)*CPF!D443,VLOOKUP(B443,'CPF Table'!$A$4:$G$8,5,TRUE)*CPF!C443+VLOOKUP(B443,'CPF Table'!$A$4:$G$8,5,TRUE)*CPF!D443)</f>
        <v>0</v>
      </c>
      <c r="G443" s="18">
        <f>VLOOKUP(B443,'CPF Table'!$A$13:$E$23,3,TRUE)*F443</f>
        <v>0</v>
      </c>
      <c r="H443" s="18">
        <f>VLOOKUP(B443,'CPF Table'!$A$13:$E$23,4,TRUE)*CPF!F443</f>
        <v>0</v>
      </c>
      <c r="I443" s="18">
        <f>VLOOKUP(B443,'CPF Table'!$A$13:$E$23,5,TRUE)*CPF!F443</f>
        <v>0</v>
      </c>
      <c r="J443" s="103">
        <f t="shared" si="12"/>
        <v>0</v>
      </c>
    </row>
    <row r="444" spans="3:10">
      <c r="C444" s="126">
        <v>0</v>
      </c>
      <c r="D444" s="127">
        <v>0</v>
      </c>
      <c r="E444" s="82">
        <f t="shared" si="13"/>
        <v>0</v>
      </c>
      <c r="F444" s="18">
        <f>IF(VLOOKUP(B444,'CPF Table'!$A$4:$G$8,5,TRUE)*CPF!C444&gt;=VLOOKUP(B444,'CPF Table'!$A$4:$G$8,6,TRUE),VLOOKUP(B444,'CPF Table'!$A$4:$G$8,5,TRUE)*C444+VLOOKUP(B444,'CPF Table'!$A$4:$G$8,5,TRUE)*CPF!D444,VLOOKUP(B444,'CPF Table'!$A$4:$G$8,5,TRUE)*CPF!C444+VLOOKUP(B444,'CPF Table'!$A$4:$G$8,5,TRUE)*CPF!D444)</f>
        <v>0</v>
      </c>
      <c r="G444" s="18">
        <f>VLOOKUP(B444,'CPF Table'!$A$13:$E$23,3,TRUE)*F444</f>
        <v>0</v>
      </c>
      <c r="H444" s="18">
        <f>VLOOKUP(B444,'CPF Table'!$A$13:$E$23,4,TRUE)*CPF!F444</f>
        <v>0</v>
      </c>
      <c r="I444" s="18">
        <f>VLOOKUP(B444,'CPF Table'!$A$13:$E$23,5,TRUE)*CPF!F444</f>
        <v>0</v>
      </c>
      <c r="J444" s="103">
        <f t="shared" si="12"/>
        <v>0</v>
      </c>
    </row>
    <row r="445" spans="3:10">
      <c r="C445" s="126">
        <v>0</v>
      </c>
      <c r="D445" s="127">
        <v>0</v>
      </c>
      <c r="E445" s="82">
        <f t="shared" si="13"/>
        <v>0</v>
      </c>
      <c r="F445" s="18">
        <f>IF(VLOOKUP(B445,'CPF Table'!$A$4:$G$8,5,TRUE)*CPF!C445&gt;=VLOOKUP(B445,'CPF Table'!$A$4:$G$8,6,TRUE),VLOOKUP(B445,'CPF Table'!$A$4:$G$8,5,TRUE)*C445+VLOOKUP(B445,'CPF Table'!$A$4:$G$8,5,TRUE)*CPF!D445,VLOOKUP(B445,'CPF Table'!$A$4:$G$8,5,TRUE)*CPF!C445+VLOOKUP(B445,'CPF Table'!$A$4:$G$8,5,TRUE)*CPF!D445)</f>
        <v>0</v>
      </c>
      <c r="G445" s="18">
        <f>VLOOKUP(B445,'CPF Table'!$A$13:$E$23,3,TRUE)*F445</f>
        <v>0</v>
      </c>
      <c r="H445" s="18">
        <f>VLOOKUP(B445,'CPF Table'!$A$13:$E$23,4,TRUE)*CPF!F445</f>
        <v>0</v>
      </c>
      <c r="I445" s="18">
        <f>VLOOKUP(B445,'CPF Table'!$A$13:$E$23,5,TRUE)*CPF!F445</f>
        <v>0</v>
      </c>
      <c r="J445" s="103">
        <f t="shared" si="12"/>
        <v>0</v>
      </c>
    </row>
    <row r="446" spans="3:10">
      <c r="C446" s="126">
        <v>0</v>
      </c>
      <c r="D446" s="127">
        <v>0</v>
      </c>
      <c r="E446" s="82">
        <f t="shared" si="13"/>
        <v>0</v>
      </c>
      <c r="F446" s="18">
        <f>IF(VLOOKUP(B446,'CPF Table'!$A$4:$G$8,5,TRUE)*CPF!C446&gt;=VLOOKUP(B446,'CPF Table'!$A$4:$G$8,6,TRUE),VLOOKUP(B446,'CPF Table'!$A$4:$G$8,5,TRUE)*C446+VLOOKUP(B446,'CPF Table'!$A$4:$G$8,5,TRUE)*CPF!D446,VLOOKUP(B446,'CPF Table'!$A$4:$G$8,5,TRUE)*CPF!C446+VLOOKUP(B446,'CPF Table'!$A$4:$G$8,5,TRUE)*CPF!D446)</f>
        <v>0</v>
      </c>
      <c r="G446" s="18">
        <f>VLOOKUP(B446,'CPF Table'!$A$13:$E$23,3,TRUE)*F446</f>
        <v>0</v>
      </c>
      <c r="H446" s="18">
        <f>VLOOKUP(B446,'CPF Table'!$A$13:$E$23,4,TRUE)*CPF!F446</f>
        <v>0</v>
      </c>
      <c r="I446" s="18">
        <f>VLOOKUP(B446,'CPF Table'!$A$13:$E$23,5,TRUE)*CPF!F446</f>
        <v>0</v>
      </c>
      <c r="J446" s="103">
        <f t="shared" si="12"/>
        <v>0</v>
      </c>
    </row>
    <row r="447" spans="3:10">
      <c r="C447" s="126">
        <v>0</v>
      </c>
      <c r="D447" s="127">
        <v>0</v>
      </c>
      <c r="E447" s="82">
        <f t="shared" si="13"/>
        <v>0</v>
      </c>
      <c r="F447" s="18">
        <f>IF(VLOOKUP(B447,'CPF Table'!$A$4:$G$8,5,TRUE)*CPF!C447&gt;=VLOOKUP(B447,'CPF Table'!$A$4:$G$8,6,TRUE),VLOOKUP(B447,'CPF Table'!$A$4:$G$8,5,TRUE)*C447+VLOOKUP(B447,'CPF Table'!$A$4:$G$8,5,TRUE)*CPF!D447,VLOOKUP(B447,'CPF Table'!$A$4:$G$8,5,TRUE)*CPF!C447+VLOOKUP(B447,'CPF Table'!$A$4:$G$8,5,TRUE)*CPF!D447)</f>
        <v>0</v>
      </c>
      <c r="G447" s="18">
        <f>VLOOKUP(B447,'CPF Table'!$A$13:$E$23,3,TRUE)*F447</f>
        <v>0</v>
      </c>
      <c r="H447" s="18">
        <f>VLOOKUP(B447,'CPF Table'!$A$13:$E$23,4,TRUE)*CPF!F447</f>
        <v>0</v>
      </c>
      <c r="I447" s="18">
        <f>VLOOKUP(B447,'CPF Table'!$A$13:$E$23,5,TRUE)*CPF!F447</f>
        <v>0</v>
      </c>
      <c r="J447" s="103">
        <f t="shared" si="12"/>
        <v>0</v>
      </c>
    </row>
    <row r="448" spans="3:10">
      <c r="C448" s="126">
        <v>0</v>
      </c>
      <c r="D448" s="127">
        <v>0</v>
      </c>
      <c r="E448" s="82">
        <f t="shared" si="13"/>
        <v>0</v>
      </c>
      <c r="F448" s="18">
        <f>IF(VLOOKUP(B448,'CPF Table'!$A$4:$G$8,5,TRUE)*CPF!C448&gt;=VLOOKUP(B448,'CPF Table'!$A$4:$G$8,6,TRUE),VLOOKUP(B448,'CPF Table'!$A$4:$G$8,5,TRUE)*C448+VLOOKUP(B448,'CPF Table'!$A$4:$G$8,5,TRUE)*CPF!D448,VLOOKUP(B448,'CPF Table'!$A$4:$G$8,5,TRUE)*CPF!C448+VLOOKUP(B448,'CPF Table'!$A$4:$G$8,5,TRUE)*CPF!D448)</f>
        <v>0</v>
      </c>
      <c r="G448" s="18">
        <f>VLOOKUP(B448,'CPF Table'!$A$13:$E$23,3,TRUE)*F448</f>
        <v>0</v>
      </c>
      <c r="H448" s="18">
        <f>VLOOKUP(B448,'CPF Table'!$A$13:$E$23,4,TRUE)*CPF!F448</f>
        <v>0</v>
      </c>
      <c r="I448" s="18">
        <f>VLOOKUP(B448,'CPF Table'!$A$13:$E$23,5,TRUE)*CPF!F448</f>
        <v>0</v>
      </c>
      <c r="J448" s="103">
        <f t="shared" si="12"/>
        <v>0</v>
      </c>
    </row>
    <row r="449" spans="3:10">
      <c r="C449" s="126">
        <v>0</v>
      </c>
      <c r="D449" s="127">
        <v>0</v>
      </c>
      <c r="E449" s="82">
        <f t="shared" si="13"/>
        <v>0</v>
      </c>
      <c r="F449" s="18">
        <f>IF(VLOOKUP(B449,'CPF Table'!$A$4:$G$8,5,TRUE)*CPF!C449&gt;=VLOOKUP(B449,'CPF Table'!$A$4:$G$8,6,TRUE),VLOOKUP(B449,'CPF Table'!$A$4:$G$8,5,TRUE)*C449+VLOOKUP(B449,'CPF Table'!$A$4:$G$8,5,TRUE)*CPF!D449,VLOOKUP(B449,'CPF Table'!$A$4:$G$8,5,TRUE)*CPF!C449+VLOOKUP(B449,'CPF Table'!$A$4:$G$8,5,TRUE)*CPF!D449)</f>
        <v>0</v>
      </c>
      <c r="G449" s="18">
        <f>VLOOKUP(B449,'CPF Table'!$A$13:$E$23,3,TRUE)*F449</f>
        <v>0</v>
      </c>
      <c r="H449" s="18">
        <f>VLOOKUP(B449,'CPF Table'!$A$13:$E$23,4,TRUE)*CPF!F449</f>
        <v>0</v>
      </c>
      <c r="I449" s="18">
        <f>VLOOKUP(B449,'CPF Table'!$A$13:$E$23,5,TRUE)*CPF!F449</f>
        <v>0</v>
      </c>
      <c r="J449" s="103">
        <f t="shared" si="12"/>
        <v>0</v>
      </c>
    </row>
    <row r="450" spans="3:10">
      <c r="C450" s="126">
        <v>0</v>
      </c>
      <c r="D450" s="127">
        <v>0</v>
      </c>
      <c r="E450" s="82">
        <f t="shared" si="13"/>
        <v>0</v>
      </c>
      <c r="F450" s="18">
        <f>IF(VLOOKUP(B450,'CPF Table'!$A$4:$G$8,5,TRUE)*CPF!C450&gt;=VLOOKUP(B450,'CPF Table'!$A$4:$G$8,6,TRUE),VLOOKUP(B450,'CPF Table'!$A$4:$G$8,5,TRUE)*C450+VLOOKUP(B450,'CPF Table'!$A$4:$G$8,5,TRUE)*CPF!D450,VLOOKUP(B450,'CPF Table'!$A$4:$G$8,5,TRUE)*CPF!C450+VLOOKUP(B450,'CPF Table'!$A$4:$G$8,5,TRUE)*CPF!D450)</f>
        <v>0</v>
      </c>
      <c r="G450" s="18">
        <f>VLOOKUP(B450,'CPF Table'!$A$13:$E$23,3,TRUE)*F450</f>
        <v>0</v>
      </c>
      <c r="H450" s="18">
        <f>VLOOKUP(B450,'CPF Table'!$A$13:$E$23,4,TRUE)*CPF!F450</f>
        <v>0</v>
      </c>
      <c r="I450" s="18">
        <f>VLOOKUP(B450,'CPF Table'!$A$13:$E$23,5,TRUE)*CPF!F450</f>
        <v>0</v>
      </c>
      <c r="J450" s="103">
        <f t="shared" si="12"/>
        <v>0</v>
      </c>
    </row>
    <row r="451" spans="3:10">
      <c r="C451" s="126">
        <v>0</v>
      </c>
      <c r="D451" s="127">
        <v>0</v>
      </c>
      <c r="E451" s="82">
        <f t="shared" si="13"/>
        <v>0</v>
      </c>
      <c r="F451" s="18">
        <f>IF(VLOOKUP(B451,'CPF Table'!$A$4:$G$8,5,TRUE)*CPF!C451&gt;=VLOOKUP(B451,'CPF Table'!$A$4:$G$8,6,TRUE),VLOOKUP(B451,'CPF Table'!$A$4:$G$8,5,TRUE)*C451+VLOOKUP(B451,'CPF Table'!$A$4:$G$8,5,TRUE)*CPF!D451,VLOOKUP(B451,'CPF Table'!$A$4:$G$8,5,TRUE)*CPF!C451+VLOOKUP(B451,'CPF Table'!$A$4:$G$8,5,TRUE)*CPF!D451)</f>
        <v>0</v>
      </c>
      <c r="G451" s="18">
        <f>VLOOKUP(B451,'CPF Table'!$A$13:$E$23,3,TRUE)*F451</f>
        <v>0</v>
      </c>
      <c r="H451" s="18">
        <f>VLOOKUP(B451,'CPF Table'!$A$13:$E$23,4,TRUE)*CPF!F451</f>
        <v>0</v>
      </c>
      <c r="I451" s="18">
        <f>VLOOKUP(B451,'CPF Table'!$A$13:$E$23,5,TRUE)*CPF!F451</f>
        <v>0</v>
      </c>
      <c r="J451" s="103">
        <f t="shared" si="12"/>
        <v>0</v>
      </c>
    </row>
    <row r="452" spans="3:10">
      <c r="C452" s="126">
        <v>0</v>
      </c>
      <c r="D452" s="127">
        <v>0</v>
      </c>
      <c r="E452" s="82">
        <f t="shared" si="13"/>
        <v>0</v>
      </c>
      <c r="F452" s="18">
        <f>IF(VLOOKUP(B452,'CPF Table'!$A$4:$G$8,5,TRUE)*CPF!C452&gt;=VLOOKUP(B452,'CPF Table'!$A$4:$G$8,6,TRUE),VLOOKUP(B452,'CPF Table'!$A$4:$G$8,5,TRUE)*C452+VLOOKUP(B452,'CPF Table'!$A$4:$G$8,5,TRUE)*CPF!D452,VLOOKUP(B452,'CPF Table'!$A$4:$G$8,5,TRUE)*CPF!C452+VLOOKUP(B452,'CPF Table'!$A$4:$G$8,5,TRUE)*CPF!D452)</f>
        <v>0</v>
      </c>
      <c r="G452" s="18">
        <f>VLOOKUP(B452,'CPF Table'!$A$13:$E$23,3,TRUE)*F452</f>
        <v>0</v>
      </c>
      <c r="H452" s="18">
        <f>VLOOKUP(B452,'CPF Table'!$A$13:$E$23,4,TRUE)*CPF!F452</f>
        <v>0</v>
      </c>
      <c r="I452" s="18">
        <f>VLOOKUP(B452,'CPF Table'!$A$13:$E$23,5,TRUE)*CPF!F452</f>
        <v>0</v>
      </c>
      <c r="J452" s="103">
        <f t="shared" si="12"/>
        <v>0</v>
      </c>
    </row>
    <row r="453" spans="3:10">
      <c r="C453" s="126">
        <v>0</v>
      </c>
      <c r="D453" s="127">
        <v>0</v>
      </c>
      <c r="E453" s="82">
        <f t="shared" si="13"/>
        <v>0</v>
      </c>
      <c r="F453" s="18">
        <f>IF(VLOOKUP(B453,'CPF Table'!$A$4:$G$8,5,TRUE)*CPF!C453&gt;=VLOOKUP(B453,'CPF Table'!$A$4:$G$8,6,TRUE),VLOOKUP(B453,'CPF Table'!$A$4:$G$8,5,TRUE)*C453+VLOOKUP(B453,'CPF Table'!$A$4:$G$8,5,TRUE)*CPF!D453,VLOOKUP(B453,'CPF Table'!$A$4:$G$8,5,TRUE)*CPF!C453+VLOOKUP(B453,'CPF Table'!$A$4:$G$8,5,TRUE)*CPF!D453)</f>
        <v>0</v>
      </c>
      <c r="G453" s="18">
        <f>VLOOKUP(B453,'CPF Table'!$A$13:$E$23,3,TRUE)*F453</f>
        <v>0</v>
      </c>
      <c r="H453" s="18">
        <f>VLOOKUP(B453,'CPF Table'!$A$13:$E$23,4,TRUE)*CPF!F453</f>
        <v>0</v>
      </c>
      <c r="I453" s="18">
        <f>VLOOKUP(B453,'CPF Table'!$A$13:$E$23,5,TRUE)*CPF!F453</f>
        <v>0</v>
      </c>
      <c r="J453" s="103">
        <f t="shared" si="12"/>
        <v>0</v>
      </c>
    </row>
    <row r="454" spans="3:10">
      <c r="C454" s="126">
        <v>0</v>
      </c>
      <c r="D454" s="127">
        <v>0</v>
      </c>
      <c r="E454" s="82">
        <f t="shared" si="13"/>
        <v>0</v>
      </c>
      <c r="F454" s="18">
        <f>IF(VLOOKUP(B454,'CPF Table'!$A$4:$G$8,5,TRUE)*CPF!C454&gt;=VLOOKUP(B454,'CPF Table'!$A$4:$G$8,6,TRUE),VLOOKUP(B454,'CPF Table'!$A$4:$G$8,5,TRUE)*C454+VLOOKUP(B454,'CPF Table'!$A$4:$G$8,5,TRUE)*CPF!D454,VLOOKUP(B454,'CPF Table'!$A$4:$G$8,5,TRUE)*CPF!C454+VLOOKUP(B454,'CPF Table'!$A$4:$G$8,5,TRUE)*CPF!D454)</f>
        <v>0</v>
      </c>
      <c r="G454" s="18">
        <f>VLOOKUP(B454,'CPF Table'!$A$13:$E$23,3,TRUE)*F454</f>
        <v>0</v>
      </c>
      <c r="H454" s="18">
        <f>VLOOKUP(B454,'CPF Table'!$A$13:$E$23,4,TRUE)*CPF!F454</f>
        <v>0</v>
      </c>
      <c r="I454" s="18">
        <f>VLOOKUP(B454,'CPF Table'!$A$13:$E$23,5,TRUE)*CPF!F454</f>
        <v>0</v>
      </c>
      <c r="J454" s="103">
        <f t="shared" si="12"/>
        <v>0</v>
      </c>
    </row>
    <row r="455" spans="3:10">
      <c r="C455" s="126">
        <v>0</v>
      </c>
      <c r="D455" s="127">
        <v>0</v>
      </c>
      <c r="E455" s="82">
        <f t="shared" si="13"/>
        <v>0</v>
      </c>
      <c r="F455" s="18">
        <f>IF(VLOOKUP(B455,'CPF Table'!$A$4:$G$8,5,TRUE)*CPF!C455&gt;=VLOOKUP(B455,'CPF Table'!$A$4:$G$8,6,TRUE),VLOOKUP(B455,'CPF Table'!$A$4:$G$8,5,TRUE)*C455+VLOOKUP(B455,'CPF Table'!$A$4:$G$8,5,TRUE)*CPF!D455,VLOOKUP(B455,'CPF Table'!$A$4:$G$8,5,TRUE)*CPF!C455+VLOOKUP(B455,'CPF Table'!$A$4:$G$8,5,TRUE)*CPF!D455)</f>
        <v>0</v>
      </c>
      <c r="G455" s="18">
        <f>VLOOKUP(B455,'CPF Table'!$A$13:$E$23,3,TRUE)*F455</f>
        <v>0</v>
      </c>
      <c r="H455" s="18">
        <f>VLOOKUP(B455,'CPF Table'!$A$13:$E$23,4,TRUE)*CPF!F455</f>
        <v>0</v>
      </c>
      <c r="I455" s="18">
        <f>VLOOKUP(B455,'CPF Table'!$A$13:$E$23,5,TRUE)*CPF!F455</f>
        <v>0</v>
      </c>
      <c r="J455" s="103">
        <f t="shared" si="12"/>
        <v>0</v>
      </c>
    </row>
    <row r="456" spans="3:10">
      <c r="C456" s="126">
        <v>0</v>
      </c>
      <c r="D456" s="127">
        <v>0</v>
      </c>
      <c r="E456" s="82">
        <f t="shared" si="13"/>
        <v>0</v>
      </c>
      <c r="F456" s="18">
        <f>IF(VLOOKUP(B456,'CPF Table'!$A$4:$G$8,5,TRUE)*CPF!C456&gt;=VLOOKUP(B456,'CPF Table'!$A$4:$G$8,6,TRUE),VLOOKUP(B456,'CPF Table'!$A$4:$G$8,5,TRUE)*C456+VLOOKUP(B456,'CPF Table'!$A$4:$G$8,5,TRUE)*CPF!D456,VLOOKUP(B456,'CPF Table'!$A$4:$G$8,5,TRUE)*CPF!C456+VLOOKUP(B456,'CPF Table'!$A$4:$G$8,5,TRUE)*CPF!D456)</f>
        <v>0</v>
      </c>
      <c r="G456" s="18">
        <f>VLOOKUP(B456,'CPF Table'!$A$13:$E$23,3,TRUE)*F456</f>
        <v>0</v>
      </c>
      <c r="H456" s="18">
        <f>VLOOKUP(B456,'CPF Table'!$A$13:$E$23,4,TRUE)*CPF!F456</f>
        <v>0</v>
      </c>
      <c r="I456" s="18">
        <f>VLOOKUP(B456,'CPF Table'!$A$13:$E$23,5,TRUE)*CPF!F456</f>
        <v>0</v>
      </c>
      <c r="J456" s="103">
        <f t="shared" si="12"/>
        <v>0</v>
      </c>
    </row>
    <row r="457" spans="3:10">
      <c r="C457" s="126">
        <v>0</v>
      </c>
      <c r="D457" s="127">
        <v>0</v>
      </c>
      <c r="E457" s="82">
        <f t="shared" si="13"/>
        <v>0</v>
      </c>
      <c r="F457" s="18">
        <f>IF(VLOOKUP(B457,'CPF Table'!$A$4:$G$8,5,TRUE)*CPF!C457&gt;=VLOOKUP(B457,'CPF Table'!$A$4:$G$8,6,TRUE),VLOOKUP(B457,'CPF Table'!$A$4:$G$8,5,TRUE)*C457+VLOOKUP(B457,'CPF Table'!$A$4:$G$8,5,TRUE)*CPF!D457,VLOOKUP(B457,'CPF Table'!$A$4:$G$8,5,TRUE)*CPF!C457+VLOOKUP(B457,'CPF Table'!$A$4:$G$8,5,TRUE)*CPF!D457)</f>
        <v>0</v>
      </c>
      <c r="G457" s="18">
        <f>VLOOKUP(B457,'CPF Table'!$A$13:$E$23,3,TRUE)*F457</f>
        <v>0</v>
      </c>
      <c r="H457" s="18">
        <f>VLOOKUP(B457,'CPF Table'!$A$13:$E$23,4,TRUE)*CPF!F457</f>
        <v>0</v>
      </c>
      <c r="I457" s="18">
        <f>VLOOKUP(B457,'CPF Table'!$A$13:$E$23,5,TRUE)*CPF!F457</f>
        <v>0</v>
      </c>
      <c r="J457" s="103">
        <f t="shared" si="12"/>
        <v>0</v>
      </c>
    </row>
    <row r="458" spans="3:10">
      <c r="C458" s="126">
        <v>0</v>
      </c>
      <c r="D458" s="127">
        <v>0</v>
      </c>
      <c r="E458" s="82">
        <f t="shared" si="13"/>
        <v>0</v>
      </c>
      <c r="F458" s="18">
        <f>IF(VLOOKUP(B458,'CPF Table'!$A$4:$G$8,5,TRUE)*CPF!C458&gt;=VLOOKUP(B458,'CPF Table'!$A$4:$G$8,6,TRUE),VLOOKUP(B458,'CPF Table'!$A$4:$G$8,5,TRUE)*C458+VLOOKUP(B458,'CPF Table'!$A$4:$G$8,5,TRUE)*CPF!D458,VLOOKUP(B458,'CPF Table'!$A$4:$G$8,5,TRUE)*CPF!C458+VLOOKUP(B458,'CPF Table'!$A$4:$G$8,5,TRUE)*CPF!D458)</f>
        <v>0</v>
      </c>
      <c r="G458" s="18">
        <f>VLOOKUP(B458,'CPF Table'!$A$13:$E$23,3,TRUE)*F458</f>
        <v>0</v>
      </c>
      <c r="H458" s="18">
        <f>VLOOKUP(B458,'CPF Table'!$A$13:$E$23,4,TRUE)*CPF!F458</f>
        <v>0</v>
      </c>
      <c r="I458" s="18">
        <f>VLOOKUP(B458,'CPF Table'!$A$13:$E$23,5,TRUE)*CPF!F458</f>
        <v>0</v>
      </c>
      <c r="J458" s="103">
        <f t="shared" si="12"/>
        <v>0</v>
      </c>
    </row>
    <row r="459" spans="3:10">
      <c r="C459" s="126">
        <v>0</v>
      </c>
      <c r="D459" s="127">
        <v>0</v>
      </c>
      <c r="E459" s="82">
        <f t="shared" si="13"/>
        <v>0</v>
      </c>
      <c r="F459" s="18">
        <f>IF(VLOOKUP(B459,'CPF Table'!$A$4:$G$8,5,TRUE)*CPF!C459&gt;=VLOOKUP(B459,'CPF Table'!$A$4:$G$8,6,TRUE),VLOOKUP(B459,'CPF Table'!$A$4:$G$8,5,TRUE)*C459+VLOOKUP(B459,'CPF Table'!$A$4:$G$8,5,TRUE)*CPF!D459,VLOOKUP(B459,'CPF Table'!$A$4:$G$8,5,TRUE)*CPF!C459+VLOOKUP(B459,'CPF Table'!$A$4:$G$8,5,TRUE)*CPF!D459)</f>
        <v>0</v>
      </c>
      <c r="G459" s="18">
        <f>VLOOKUP(B459,'CPF Table'!$A$13:$E$23,3,TRUE)*F459</f>
        <v>0</v>
      </c>
      <c r="H459" s="18">
        <f>VLOOKUP(B459,'CPF Table'!$A$13:$E$23,4,TRUE)*CPF!F459</f>
        <v>0</v>
      </c>
      <c r="I459" s="18">
        <f>VLOOKUP(B459,'CPF Table'!$A$13:$E$23,5,TRUE)*CPF!F459</f>
        <v>0</v>
      </c>
      <c r="J459" s="103">
        <f t="shared" si="12"/>
        <v>0</v>
      </c>
    </row>
    <row r="460" spans="3:10">
      <c r="C460" s="126">
        <v>0</v>
      </c>
      <c r="D460" s="127">
        <v>0</v>
      </c>
      <c r="E460" s="82">
        <f t="shared" si="13"/>
        <v>0</v>
      </c>
      <c r="F460" s="18">
        <f>IF(VLOOKUP(B460,'CPF Table'!$A$4:$G$8,5,TRUE)*CPF!C460&gt;=VLOOKUP(B460,'CPF Table'!$A$4:$G$8,6,TRUE),VLOOKUP(B460,'CPF Table'!$A$4:$G$8,5,TRUE)*C460+VLOOKUP(B460,'CPF Table'!$A$4:$G$8,5,TRUE)*CPF!D460,VLOOKUP(B460,'CPF Table'!$A$4:$G$8,5,TRUE)*CPF!C460+VLOOKUP(B460,'CPF Table'!$A$4:$G$8,5,TRUE)*CPF!D460)</f>
        <v>0</v>
      </c>
      <c r="G460" s="18">
        <f>VLOOKUP(B460,'CPF Table'!$A$13:$E$23,3,TRUE)*F460</f>
        <v>0</v>
      </c>
      <c r="H460" s="18">
        <f>VLOOKUP(B460,'CPF Table'!$A$13:$E$23,4,TRUE)*CPF!F460</f>
        <v>0</v>
      </c>
      <c r="I460" s="18">
        <f>VLOOKUP(B460,'CPF Table'!$A$13:$E$23,5,TRUE)*CPF!F460</f>
        <v>0</v>
      </c>
      <c r="J460" s="103">
        <f t="shared" si="12"/>
        <v>0</v>
      </c>
    </row>
    <row r="461" spans="3:10">
      <c r="C461" s="126">
        <v>0</v>
      </c>
      <c r="D461" s="127">
        <v>0</v>
      </c>
      <c r="E461" s="82">
        <f t="shared" si="13"/>
        <v>0</v>
      </c>
      <c r="F461" s="18">
        <f>IF(VLOOKUP(B461,'CPF Table'!$A$4:$G$8,5,TRUE)*CPF!C461&gt;=VLOOKUP(B461,'CPF Table'!$A$4:$G$8,6,TRUE),VLOOKUP(B461,'CPF Table'!$A$4:$G$8,5,TRUE)*C461+VLOOKUP(B461,'CPF Table'!$A$4:$G$8,5,TRUE)*CPF!D461,VLOOKUP(B461,'CPF Table'!$A$4:$G$8,5,TRUE)*CPF!C461+VLOOKUP(B461,'CPF Table'!$A$4:$G$8,5,TRUE)*CPF!D461)</f>
        <v>0</v>
      </c>
      <c r="G461" s="18">
        <f>VLOOKUP(B461,'CPF Table'!$A$13:$E$23,3,TRUE)*F461</f>
        <v>0</v>
      </c>
      <c r="H461" s="18">
        <f>VLOOKUP(B461,'CPF Table'!$A$13:$E$23,4,TRUE)*CPF!F461</f>
        <v>0</v>
      </c>
      <c r="I461" s="18">
        <f>VLOOKUP(B461,'CPF Table'!$A$13:$E$23,5,TRUE)*CPF!F461</f>
        <v>0</v>
      </c>
      <c r="J461" s="103">
        <f t="shared" si="12"/>
        <v>0</v>
      </c>
    </row>
    <row r="462" spans="3:10">
      <c r="C462" s="126">
        <v>0</v>
      </c>
      <c r="D462" s="127">
        <v>0</v>
      </c>
      <c r="E462" s="82">
        <f t="shared" si="13"/>
        <v>0</v>
      </c>
      <c r="F462" s="18">
        <f>IF(VLOOKUP(B462,'CPF Table'!$A$4:$G$8,5,TRUE)*CPF!C462&gt;=VLOOKUP(B462,'CPF Table'!$A$4:$G$8,6,TRUE),VLOOKUP(B462,'CPF Table'!$A$4:$G$8,5,TRUE)*C462+VLOOKUP(B462,'CPF Table'!$A$4:$G$8,5,TRUE)*CPF!D462,VLOOKUP(B462,'CPF Table'!$A$4:$G$8,5,TRUE)*CPF!C462+VLOOKUP(B462,'CPF Table'!$A$4:$G$8,5,TRUE)*CPF!D462)</f>
        <v>0</v>
      </c>
      <c r="G462" s="18">
        <f>VLOOKUP(B462,'CPF Table'!$A$13:$E$23,3,TRUE)*F462</f>
        <v>0</v>
      </c>
      <c r="H462" s="18">
        <f>VLOOKUP(B462,'CPF Table'!$A$13:$E$23,4,TRUE)*CPF!F462</f>
        <v>0</v>
      </c>
      <c r="I462" s="18">
        <f>VLOOKUP(B462,'CPF Table'!$A$13:$E$23,5,TRUE)*CPF!F462</f>
        <v>0</v>
      </c>
      <c r="J462" s="103">
        <f t="shared" ref="J462:J525" si="14">E462-F462</f>
        <v>0</v>
      </c>
    </row>
    <row r="463" spans="3:10">
      <c r="C463" s="126">
        <v>0</v>
      </c>
      <c r="D463" s="127">
        <v>0</v>
      </c>
      <c r="E463" s="82">
        <f t="shared" ref="E463:E526" si="15">C463+D463</f>
        <v>0</v>
      </c>
      <c r="F463" s="18">
        <f>IF(VLOOKUP(B463,'CPF Table'!$A$4:$G$8,5,TRUE)*CPF!C463&gt;=VLOOKUP(B463,'CPF Table'!$A$4:$G$8,6,TRUE),VLOOKUP(B463,'CPF Table'!$A$4:$G$8,5,TRUE)*C463+VLOOKUP(B463,'CPF Table'!$A$4:$G$8,5,TRUE)*CPF!D463,VLOOKUP(B463,'CPF Table'!$A$4:$G$8,5,TRUE)*CPF!C463+VLOOKUP(B463,'CPF Table'!$A$4:$G$8,5,TRUE)*CPF!D463)</f>
        <v>0</v>
      </c>
      <c r="G463" s="18">
        <f>VLOOKUP(B463,'CPF Table'!$A$13:$E$23,3,TRUE)*F463</f>
        <v>0</v>
      </c>
      <c r="H463" s="18">
        <f>VLOOKUP(B463,'CPF Table'!$A$13:$E$23,4,TRUE)*CPF!F463</f>
        <v>0</v>
      </c>
      <c r="I463" s="18">
        <f>VLOOKUP(B463,'CPF Table'!$A$13:$E$23,5,TRUE)*CPF!F463</f>
        <v>0</v>
      </c>
      <c r="J463" s="103">
        <f t="shared" si="14"/>
        <v>0</v>
      </c>
    </row>
    <row r="464" spans="3:10">
      <c r="C464" s="126">
        <v>0</v>
      </c>
      <c r="D464" s="127">
        <v>0</v>
      </c>
      <c r="E464" s="82">
        <f t="shared" si="15"/>
        <v>0</v>
      </c>
      <c r="F464" s="18">
        <f>IF(VLOOKUP(B464,'CPF Table'!$A$4:$G$8,5,TRUE)*CPF!C464&gt;=VLOOKUP(B464,'CPF Table'!$A$4:$G$8,6,TRUE),VLOOKUP(B464,'CPF Table'!$A$4:$G$8,5,TRUE)*C464+VLOOKUP(B464,'CPF Table'!$A$4:$G$8,5,TRUE)*CPF!D464,VLOOKUP(B464,'CPF Table'!$A$4:$G$8,5,TRUE)*CPF!C464+VLOOKUP(B464,'CPF Table'!$A$4:$G$8,5,TRUE)*CPF!D464)</f>
        <v>0</v>
      </c>
      <c r="G464" s="18">
        <f>VLOOKUP(B464,'CPF Table'!$A$13:$E$23,3,TRUE)*F464</f>
        <v>0</v>
      </c>
      <c r="H464" s="18">
        <f>VLOOKUP(B464,'CPF Table'!$A$13:$E$23,4,TRUE)*CPF!F464</f>
        <v>0</v>
      </c>
      <c r="I464" s="18">
        <f>VLOOKUP(B464,'CPF Table'!$A$13:$E$23,5,TRUE)*CPF!F464</f>
        <v>0</v>
      </c>
      <c r="J464" s="103">
        <f t="shared" si="14"/>
        <v>0</v>
      </c>
    </row>
    <row r="465" spans="3:10">
      <c r="C465" s="126">
        <v>0</v>
      </c>
      <c r="D465" s="127">
        <v>0</v>
      </c>
      <c r="E465" s="82">
        <f t="shared" si="15"/>
        <v>0</v>
      </c>
      <c r="F465" s="18">
        <f>IF(VLOOKUP(B465,'CPF Table'!$A$4:$G$8,5,TRUE)*CPF!C465&gt;=VLOOKUP(B465,'CPF Table'!$A$4:$G$8,6,TRUE),VLOOKUP(B465,'CPF Table'!$A$4:$G$8,5,TRUE)*C465+VLOOKUP(B465,'CPF Table'!$A$4:$G$8,5,TRUE)*CPF!D465,VLOOKUP(B465,'CPF Table'!$A$4:$G$8,5,TRUE)*CPF!C465+VLOOKUP(B465,'CPF Table'!$A$4:$G$8,5,TRUE)*CPF!D465)</f>
        <v>0</v>
      </c>
      <c r="G465" s="18">
        <f>VLOOKUP(B465,'CPF Table'!$A$13:$E$23,3,TRUE)*F465</f>
        <v>0</v>
      </c>
      <c r="H465" s="18">
        <f>VLOOKUP(B465,'CPF Table'!$A$13:$E$23,4,TRUE)*CPF!F465</f>
        <v>0</v>
      </c>
      <c r="I465" s="18">
        <f>VLOOKUP(B465,'CPF Table'!$A$13:$E$23,5,TRUE)*CPF!F465</f>
        <v>0</v>
      </c>
      <c r="J465" s="103">
        <f t="shared" si="14"/>
        <v>0</v>
      </c>
    </row>
    <row r="466" spans="3:10">
      <c r="C466" s="126">
        <v>0</v>
      </c>
      <c r="D466" s="127">
        <v>0</v>
      </c>
      <c r="E466" s="82">
        <f t="shared" si="15"/>
        <v>0</v>
      </c>
      <c r="F466" s="18">
        <f>IF(VLOOKUP(B466,'CPF Table'!$A$4:$G$8,5,TRUE)*CPF!C466&gt;=VLOOKUP(B466,'CPF Table'!$A$4:$G$8,6,TRUE),VLOOKUP(B466,'CPF Table'!$A$4:$G$8,5,TRUE)*C466+VLOOKUP(B466,'CPF Table'!$A$4:$G$8,5,TRUE)*CPF!D466,VLOOKUP(B466,'CPF Table'!$A$4:$G$8,5,TRUE)*CPF!C466+VLOOKUP(B466,'CPF Table'!$A$4:$G$8,5,TRUE)*CPF!D466)</f>
        <v>0</v>
      </c>
      <c r="G466" s="18">
        <f>VLOOKUP(B466,'CPF Table'!$A$13:$E$23,3,TRUE)*F466</f>
        <v>0</v>
      </c>
      <c r="H466" s="18">
        <f>VLOOKUP(B466,'CPF Table'!$A$13:$E$23,4,TRUE)*CPF!F466</f>
        <v>0</v>
      </c>
      <c r="I466" s="18">
        <f>VLOOKUP(B466,'CPF Table'!$A$13:$E$23,5,TRUE)*CPF!F466</f>
        <v>0</v>
      </c>
      <c r="J466" s="103">
        <f t="shared" si="14"/>
        <v>0</v>
      </c>
    </row>
    <row r="467" spans="3:10">
      <c r="C467" s="126">
        <v>0</v>
      </c>
      <c r="D467" s="127">
        <v>0</v>
      </c>
      <c r="E467" s="82">
        <f t="shared" si="15"/>
        <v>0</v>
      </c>
      <c r="F467" s="18">
        <f>IF(VLOOKUP(B467,'CPF Table'!$A$4:$G$8,5,TRUE)*CPF!C467&gt;=VLOOKUP(B467,'CPF Table'!$A$4:$G$8,6,TRUE),VLOOKUP(B467,'CPF Table'!$A$4:$G$8,5,TRUE)*C467+VLOOKUP(B467,'CPF Table'!$A$4:$G$8,5,TRUE)*CPF!D467,VLOOKUP(B467,'CPF Table'!$A$4:$G$8,5,TRUE)*CPF!C467+VLOOKUP(B467,'CPF Table'!$A$4:$G$8,5,TRUE)*CPF!D467)</f>
        <v>0</v>
      </c>
      <c r="G467" s="18">
        <f>VLOOKUP(B467,'CPF Table'!$A$13:$E$23,3,TRUE)*F467</f>
        <v>0</v>
      </c>
      <c r="H467" s="18">
        <f>VLOOKUP(B467,'CPF Table'!$A$13:$E$23,4,TRUE)*CPF!F467</f>
        <v>0</v>
      </c>
      <c r="I467" s="18">
        <f>VLOOKUP(B467,'CPF Table'!$A$13:$E$23,5,TRUE)*CPF!F467</f>
        <v>0</v>
      </c>
      <c r="J467" s="103">
        <f t="shared" si="14"/>
        <v>0</v>
      </c>
    </row>
    <row r="468" spans="3:10">
      <c r="C468" s="126">
        <v>0</v>
      </c>
      <c r="D468" s="127">
        <v>0</v>
      </c>
      <c r="E468" s="82">
        <f t="shared" si="15"/>
        <v>0</v>
      </c>
      <c r="F468" s="18">
        <f>IF(VLOOKUP(B468,'CPF Table'!$A$4:$G$8,5,TRUE)*CPF!C468&gt;=VLOOKUP(B468,'CPF Table'!$A$4:$G$8,6,TRUE),VLOOKUP(B468,'CPF Table'!$A$4:$G$8,5,TRUE)*C468+VLOOKUP(B468,'CPF Table'!$A$4:$G$8,5,TRUE)*CPF!D468,VLOOKUP(B468,'CPF Table'!$A$4:$G$8,5,TRUE)*CPF!C468+VLOOKUP(B468,'CPF Table'!$A$4:$G$8,5,TRUE)*CPF!D468)</f>
        <v>0</v>
      </c>
      <c r="G468" s="18">
        <f>VLOOKUP(B468,'CPF Table'!$A$13:$E$23,3,TRUE)*F468</f>
        <v>0</v>
      </c>
      <c r="H468" s="18">
        <f>VLOOKUP(B468,'CPF Table'!$A$13:$E$23,4,TRUE)*CPF!F468</f>
        <v>0</v>
      </c>
      <c r="I468" s="18">
        <f>VLOOKUP(B468,'CPF Table'!$A$13:$E$23,5,TRUE)*CPF!F468</f>
        <v>0</v>
      </c>
      <c r="J468" s="103">
        <f t="shared" si="14"/>
        <v>0</v>
      </c>
    </row>
    <row r="469" spans="3:10">
      <c r="C469" s="126">
        <v>0</v>
      </c>
      <c r="D469" s="127">
        <v>0</v>
      </c>
      <c r="E469" s="82">
        <f t="shared" si="15"/>
        <v>0</v>
      </c>
      <c r="F469" s="18">
        <f>IF(VLOOKUP(B469,'CPF Table'!$A$4:$G$8,5,TRUE)*CPF!C469&gt;=VLOOKUP(B469,'CPF Table'!$A$4:$G$8,6,TRUE),VLOOKUP(B469,'CPF Table'!$A$4:$G$8,5,TRUE)*C469+VLOOKUP(B469,'CPF Table'!$A$4:$G$8,5,TRUE)*CPF!D469,VLOOKUP(B469,'CPF Table'!$A$4:$G$8,5,TRUE)*CPF!C469+VLOOKUP(B469,'CPF Table'!$A$4:$G$8,5,TRUE)*CPF!D469)</f>
        <v>0</v>
      </c>
      <c r="G469" s="18">
        <f>VLOOKUP(B469,'CPF Table'!$A$13:$E$23,3,TRUE)*F469</f>
        <v>0</v>
      </c>
      <c r="H469" s="18">
        <f>VLOOKUP(B469,'CPF Table'!$A$13:$E$23,4,TRUE)*CPF!F469</f>
        <v>0</v>
      </c>
      <c r="I469" s="18">
        <f>VLOOKUP(B469,'CPF Table'!$A$13:$E$23,5,TRUE)*CPF!F469</f>
        <v>0</v>
      </c>
      <c r="J469" s="103">
        <f t="shared" si="14"/>
        <v>0</v>
      </c>
    </row>
    <row r="470" spans="3:10">
      <c r="C470" s="126">
        <v>0</v>
      </c>
      <c r="D470" s="127">
        <v>0</v>
      </c>
      <c r="E470" s="82">
        <f t="shared" si="15"/>
        <v>0</v>
      </c>
      <c r="F470" s="18">
        <f>IF(VLOOKUP(B470,'CPF Table'!$A$4:$G$8,5,TRUE)*CPF!C470&gt;=VLOOKUP(B470,'CPF Table'!$A$4:$G$8,6,TRUE),VLOOKUP(B470,'CPF Table'!$A$4:$G$8,5,TRUE)*C470+VLOOKUP(B470,'CPF Table'!$A$4:$G$8,5,TRUE)*CPF!D470,VLOOKUP(B470,'CPF Table'!$A$4:$G$8,5,TRUE)*CPF!C470+VLOOKUP(B470,'CPF Table'!$A$4:$G$8,5,TRUE)*CPF!D470)</f>
        <v>0</v>
      </c>
      <c r="G470" s="18">
        <f>VLOOKUP(B470,'CPF Table'!$A$13:$E$23,3,TRUE)*F470</f>
        <v>0</v>
      </c>
      <c r="H470" s="18">
        <f>VLOOKUP(B470,'CPF Table'!$A$13:$E$23,4,TRUE)*CPF!F470</f>
        <v>0</v>
      </c>
      <c r="I470" s="18">
        <f>VLOOKUP(B470,'CPF Table'!$A$13:$E$23,5,TRUE)*CPF!F470</f>
        <v>0</v>
      </c>
      <c r="J470" s="103">
        <f t="shared" si="14"/>
        <v>0</v>
      </c>
    </row>
    <row r="471" spans="3:10">
      <c r="C471" s="126">
        <v>0</v>
      </c>
      <c r="D471" s="127">
        <v>0</v>
      </c>
      <c r="E471" s="82">
        <f t="shared" si="15"/>
        <v>0</v>
      </c>
      <c r="F471" s="18">
        <f>IF(VLOOKUP(B471,'CPF Table'!$A$4:$G$8,5,TRUE)*CPF!C471&gt;=VLOOKUP(B471,'CPF Table'!$A$4:$G$8,6,TRUE),VLOOKUP(B471,'CPF Table'!$A$4:$G$8,5,TRUE)*C471+VLOOKUP(B471,'CPF Table'!$A$4:$G$8,5,TRUE)*CPF!D471,VLOOKUP(B471,'CPF Table'!$A$4:$G$8,5,TRUE)*CPF!C471+VLOOKUP(B471,'CPF Table'!$A$4:$G$8,5,TRUE)*CPF!D471)</f>
        <v>0</v>
      </c>
      <c r="G471" s="18">
        <f>VLOOKUP(B471,'CPF Table'!$A$13:$E$23,3,TRUE)*F471</f>
        <v>0</v>
      </c>
      <c r="H471" s="18">
        <f>VLOOKUP(B471,'CPF Table'!$A$13:$E$23,4,TRUE)*CPF!F471</f>
        <v>0</v>
      </c>
      <c r="I471" s="18">
        <f>VLOOKUP(B471,'CPF Table'!$A$13:$E$23,5,TRUE)*CPF!F471</f>
        <v>0</v>
      </c>
      <c r="J471" s="103">
        <f t="shared" si="14"/>
        <v>0</v>
      </c>
    </row>
    <row r="472" spans="3:10">
      <c r="C472" s="126">
        <v>0</v>
      </c>
      <c r="D472" s="127">
        <v>0</v>
      </c>
      <c r="E472" s="82">
        <f t="shared" si="15"/>
        <v>0</v>
      </c>
      <c r="F472" s="18">
        <f>IF(VLOOKUP(B472,'CPF Table'!$A$4:$G$8,5,TRUE)*CPF!C472&gt;=VLOOKUP(B472,'CPF Table'!$A$4:$G$8,6,TRUE),VLOOKUP(B472,'CPF Table'!$A$4:$G$8,5,TRUE)*C472+VLOOKUP(B472,'CPF Table'!$A$4:$G$8,5,TRUE)*CPF!D472,VLOOKUP(B472,'CPF Table'!$A$4:$G$8,5,TRUE)*CPF!C472+VLOOKUP(B472,'CPF Table'!$A$4:$G$8,5,TRUE)*CPF!D472)</f>
        <v>0</v>
      </c>
      <c r="G472" s="18">
        <f>VLOOKUP(B472,'CPF Table'!$A$13:$E$23,3,TRUE)*F472</f>
        <v>0</v>
      </c>
      <c r="H472" s="18">
        <f>VLOOKUP(B472,'CPF Table'!$A$13:$E$23,4,TRUE)*CPF!F472</f>
        <v>0</v>
      </c>
      <c r="I472" s="18">
        <f>VLOOKUP(B472,'CPF Table'!$A$13:$E$23,5,TRUE)*CPF!F472</f>
        <v>0</v>
      </c>
      <c r="J472" s="103">
        <f t="shared" si="14"/>
        <v>0</v>
      </c>
    </row>
    <row r="473" spans="3:10">
      <c r="C473" s="126">
        <v>0</v>
      </c>
      <c r="D473" s="127">
        <v>0</v>
      </c>
      <c r="E473" s="82">
        <f t="shared" si="15"/>
        <v>0</v>
      </c>
      <c r="F473" s="18">
        <f>IF(VLOOKUP(B473,'CPF Table'!$A$4:$G$8,5,TRUE)*CPF!C473&gt;=VLOOKUP(B473,'CPF Table'!$A$4:$G$8,6,TRUE),VLOOKUP(B473,'CPF Table'!$A$4:$G$8,5,TRUE)*C473+VLOOKUP(B473,'CPF Table'!$A$4:$G$8,5,TRUE)*CPF!D473,VLOOKUP(B473,'CPF Table'!$A$4:$G$8,5,TRUE)*CPF!C473+VLOOKUP(B473,'CPF Table'!$A$4:$G$8,5,TRUE)*CPF!D473)</f>
        <v>0</v>
      </c>
      <c r="G473" s="18">
        <f>VLOOKUP(B473,'CPF Table'!$A$13:$E$23,3,TRUE)*F473</f>
        <v>0</v>
      </c>
      <c r="H473" s="18">
        <f>VLOOKUP(B473,'CPF Table'!$A$13:$E$23,4,TRUE)*CPF!F473</f>
        <v>0</v>
      </c>
      <c r="I473" s="18">
        <f>VLOOKUP(B473,'CPF Table'!$A$13:$E$23,5,TRUE)*CPF!F473</f>
        <v>0</v>
      </c>
      <c r="J473" s="103">
        <f t="shared" si="14"/>
        <v>0</v>
      </c>
    </row>
    <row r="474" spans="3:10">
      <c r="C474" s="126">
        <v>0</v>
      </c>
      <c r="D474" s="127">
        <v>0</v>
      </c>
      <c r="E474" s="82">
        <f t="shared" si="15"/>
        <v>0</v>
      </c>
      <c r="F474" s="18">
        <f>IF(VLOOKUP(B474,'CPF Table'!$A$4:$G$8,5,TRUE)*CPF!C474&gt;=VLOOKUP(B474,'CPF Table'!$A$4:$G$8,6,TRUE),VLOOKUP(B474,'CPF Table'!$A$4:$G$8,5,TRUE)*C474+VLOOKUP(B474,'CPF Table'!$A$4:$G$8,5,TRUE)*CPF!D474,VLOOKUP(B474,'CPF Table'!$A$4:$G$8,5,TRUE)*CPF!C474+VLOOKUP(B474,'CPF Table'!$A$4:$G$8,5,TRUE)*CPF!D474)</f>
        <v>0</v>
      </c>
      <c r="G474" s="18">
        <f>VLOOKUP(B474,'CPF Table'!$A$13:$E$23,3,TRUE)*F474</f>
        <v>0</v>
      </c>
      <c r="H474" s="18">
        <f>VLOOKUP(B474,'CPF Table'!$A$13:$E$23,4,TRUE)*CPF!F474</f>
        <v>0</v>
      </c>
      <c r="I474" s="18">
        <f>VLOOKUP(B474,'CPF Table'!$A$13:$E$23,5,TRUE)*CPF!F474</f>
        <v>0</v>
      </c>
      <c r="J474" s="103">
        <f t="shared" si="14"/>
        <v>0</v>
      </c>
    </row>
    <row r="475" spans="3:10">
      <c r="C475" s="126">
        <v>0</v>
      </c>
      <c r="D475" s="127">
        <v>0</v>
      </c>
      <c r="E475" s="82">
        <f t="shared" si="15"/>
        <v>0</v>
      </c>
      <c r="F475" s="18">
        <f>IF(VLOOKUP(B475,'CPF Table'!$A$4:$G$8,5,TRUE)*CPF!C475&gt;=VLOOKUP(B475,'CPF Table'!$A$4:$G$8,6,TRUE),VLOOKUP(B475,'CPF Table'!$A$4:$G$8,5,TRUE)*C475+VLOOKUP(B475,'CPF Table'!$A$4:$G$8,5,TRUE)*CPF!D475,VLOOKUP(B475,'CPF Table'!$A$4:$G$8,5,TRUE)*CPF!C475+VLOOKUP(B475,'CPF Table'!$A$4:$G$8,5,TRUE)*CPF!D475)</f>
        <v>0</v>
      </c>
      <c r="G475" s="18">
        <f>VLOOKUP(B475,'CPF Table'!$A$13:$E$23,3,TRUE)*F475</f>
        <v>0</v>
      </c>
      <c r="H475" s="18">
        <f>VLOOKUP(B475,'CPF Table'!$A$13:$E$23,4,TRUE)*CPF!F475</f>
        <v>0</v>
      </c>
      <c r="I475" s="18">
        <f>VLOOKUP(B475,'CPF Table'!$A$13:$E$23,5,TRUE)*CPF!F475</f>
        <v>0</v>
      </c>
      <c r="J475" s="103">
        <f t="shared" si="14"/>
        <v>0</v>
      </c>
    </row>
    <row r="476" spans="3:10">
      <c r="C476" s="126">
        <v>0</v>
      </c>
      <c r="D476" s="127">
        <v>0</v>
      </c>
      <c r="E476" s="82">
        <f t="shared" si="15"/>
        <v>0</v>
      </c>
      <c r="F476" s="18">
        <f>IF(VLOOKUP(B476,'CPF Table'!$A$4:$G$8,5,TRUE)*CPF!C476&gt;=VLOOKUP(B476,'CPF Table'!$A$4:$G$8,6,TRUE),VLOOKUP(B476,'CPF Table'!$A$4:$G$8,5,TRUE)*C476+VLOOKUP(B476,'CPF Table'!$A$4:$G$8,5,TRUE)*CPF!D476,VLOOKUP(B476,'CPF Table'!$A$4:$G$8,5,TRUE)*CPF!C476+VLOOKUP(B476,'CPF Table'!$A$4:$G$8,5,TRUE)*CPF!D476)</f>
        <v>0</v>
      </c>
      <c r="G476" s="18">
        <f>VLOOKUP(B476,'CPF Table'!$A$13:$E$23,3,TRUE)*F476</f>
        <v>0</v>
      </c>
      <c r="H476" s="18">
        <f>VLOOKUP(B476,'CPF Table'!$A$13:$E$23,4,TRUE)*CPF!F476</f>
        <v>0</v>
      </c>
      <c r="I476" s="18">
        <f>VLOOKUP(B476,'CPF Table'!$A$13:$E$23,5,TRUE)*CPF!F476</f>
        <v>0</v>
      </c>
      <c r="J476" s="103">
        <f t="shared" si="14"/>
        <v>0</v>
      </c>
    </row>
    <row r="477" spans="3:10">
      <c r="C477" s="126">
        <v>0</v>
      </c>
      <c r="D477" s="127">
        <v>0</v>
      </c>
      <c r="E477" s="82">
        <f t="shared" si="15"/>
        <v>0</v>
      </c>
      <c r="F477" s="18">
        <f>IF(VLOOKUP(B477,'CPF Table'!$A$4:$G$8,5,TRUE)*CPF!C477&gt;=VLOOKUP(B477,'CPF Table'!$A$4:$G$8,6,TRUE),VLOOKUP(B477,'CPF Table'!$A$4:$G$8,5,TRUE)*C477+VLOOKUP(B477,'CPF Table'!$A$4:$G$8,5,TRUE)*CPF!D477,VLOOKUP(B477,'CPF Table'!$A$4:$G$8,5,TRUE)*CPF!C477+VLOOKUP(B477,'CPF Table'!$A$4:$G$8,5,TRUE)*CPF!D477)</f>
        <v>0</v>
      </c>
      <c r="G477" s="18">
        <f>VLOOKUP(B477,'CPF Table'!$A$13:$E$23,3,TRUE)*F477</f>
        <v>0</v>
      </c>
      <c r="H477" s="18">
        <f>VLOOKUP(B477,'CPF Table'!$A$13:$E$23,4,TRUE)*CPF!F477</f>
        <v>0</v>
      </c>
      <c r="I477" s="18">
        <f>VLOOKUP(B477,'CPF Table'!$A$13:$E$23,5,TRUE)*CPF!F477</f>
        <v>0</v>
      </c>
      <c r="J477" s="103">
        <f t="shared" si="14"/>
        <v>0</v>
      </c>
    </row>
    <row r="478" spans="3:10">
      <c r="C478" s="126">
        <v>0</v>
      </c>
      <c r="D478" s="127">
        <v>0</v>
      </c>
      <c r="E478" s="82">
        <f t="shared" si="15"/>
        <v>0</v>
      </c>
      <c r="F478" s="18">
        <f>IF(VLOOKUP(B478,'CPF Table'!$A$4:$G$8,5,TRUE)*CPF!C478&gt;=VLOOKUP(B478,'CPF Table'!$A$4:$G$8,6,TRUE),VLOOKUP(B478,'CPF Table'!$A$4:$G$8,5,TRUE)*C478+VLOOKUP(B478,'CPF Table'!$A$4:$G$8,5,TRUE)*CPF!D478,VLOOKUP(B478,'CPF Table'!$A$4:$G$8,5,TRUE)*CPF!C478+VLOOKUP(B478,'CPF Table'!$A$4:$G$8,5,TRUE)*CPF!D478)</f>
        <v>0</v>
      </c>
      <c r="G478" s="18">
        <f>VLOOKUP(B478,'CPF Table'!$A$13:$E$23,3,TRUE)*F478</f>
        <v>0</v>
      </c>
      <c r="H478" s="18">
        <f>VLOOKUP(B478,'CPF Table'!$A$13:$E$23,4,TRUE)*CPF!F478</f>
        <v>0</v>
      </c>
      <c r="I478" s="18">
        <f>VLOOKUP(B478,'CPF Table'!$A$13:$E$23,5,TRUE)*CPF!F478</f>
        <v>0</v>
      </c>
      <c r="J478" s="103">
        <f t="shared" si="14"/>
        <v>0</v>
      </c>
    </row>
    <row r="479" spans="3:10">
      <c r="C479" s="126">
        <v>0</v>
      </c>
      <c r="D479" s="127">
        <v>0</v>
      </c>
      <c r="E479" s="82">
        <f t="shared" si="15"/>
        <v>0</v>
      </c>
      <c r="F479" s="18">
        <f>IF(VLOOKUP(B479,'CPF Table'!$A$4:$G$8,5,TRUE)*CPF!C479&gt;=VLOOKUP(B479,'CPF Table'!$A$4:$G$8,6,TRUE),VLOOKUP(B479,'CPF Table'!$A$4:$G$8,5,TRUE)*C479+VLOOKUP(B479,'CPF Table'!$A$4:$G$8,5,TRUE)*CPF!D479,VLOOKUP(B479,'CPF Table'!$A$4:$G$8,5,TRUE)*CPF!C479+VLOOKUP(B479,'CPF Table'!$A$4:$G$8,5,TRUE)*CPF!D479)</f>
        <v>0</v>
      </c>
      <c r="G479" s="18">
        <f>VLOOKUP(B479,'CPF Table'!$A$13:$E$23,3,TRUE)*F479</f>
        <v>0</v>
      </c>
      <c r="H479" s="18">
        <f>VLOOKUP(B479,'CPF Table'!$A$13:$E$23,4,TRUE)*CPF!F479</f>
        <v>0</v>
      </c>
      <c r="I479" s="18">
        <f>VLOOKUP(B479,'CPF Table'!$A$13:$E$23,5,TRUE)*CPF!F479</f>
        <v>0</v>
      </c>
      <c r="J479" s="103">
        <f t="shared" si="14"/>
        <v>0</v>
      </c>
    </row>
    <row r="480" spans="3:10">
      <c r="C480" s="126">
        <v>0</v>
      </c>
      <c r="D480" s="127">
        <v>0</v>
      </c>
      <c r="E480" s="82">
        <f t="shared" si="15"/>
        <v>0</v>
      </c>
      <c r="F480" s="18">
        <f>IF(VLOOKUP(B480,'CPF Table'!$A$4:$G$8,5,TRUE)*CPF!C480&gt;=VLOOKUP(B480,'CPF Table'!$A$4:$G$8,6,TRUE),VLOOKUP(B480,'CPF Table'!$A$4:$G$8,5,TRUE)*C480+VLOOKUP(B480,'CPF Table'!$A$4:$G$8,5,TRUE)*CPF!D480,VLOOKUP(B480,'CPF Table'!$A$4:$G$8,5,TRUE)*CPF!C480+VLOOKUP(B480,'CPF Table'!$A$4:$G$8,5,TRUE)*CPF!D480)</f>
        <v>0</v>
      </c>
      <c r="G480" s="18">
        <f>VLOOKUP(B480,'CPF Table'!$A$13:$E$23,3,TRUE)*F480</f>
        <v>0</v>
      </c>
      <c r="H480" s="18">
        <f>VLOOKUP(B480,'CPF Table'!$A$13:$E$23,4,TRUE)*CPF!F480</f>
        <v>0</v>
      </c>
      <c r="I480" s="18">
        <f>VLOOKUP(B480,'CPF Table'!$A$13:$E$23,5,TRUE)*CPF!F480</f>
        <v>0</v>
      </c>
      <c r="J480" s="103">
        <f t="shared" si="14"/>
        <v>0</v>
      </c>
    </row>
    <row r="481" spans="3:10">
      <c r="C481" s="126">
        <v>0</v>
      </c>
      <c r="D481" s="127">
        <v>0</v>
      </c>
      <c r="E481" s="82">
        <f t="shared" si="15"/>
        <v>0</v>
      </c>
      <c r="F481" s="18">
        <f>IF(VLOOKUP(B481,'CPF Table'!$A$4:$G$8,5,TRUE)*CPF!C481&gt;=VLOOKUP(B481,'CPF Table'!$A$4:$G$8,6,TRUE),VLOOKUP(B481,'CPF Table'!$A$4:$G$8,5,TRUE)*C481+VLOOKUP(B481,'CPF Table'!$A$4:$G$8,5,TRUE)*CPF!D481,VLOOKUP(B481,'CPF Table'!$A$4:$G$8,5,TRUE)*CPF!C481+VLOOKUP(B481,'CPF Table'!$A$4:$G$8,5,TRUE)*CPF!D481)</f>
        <v>0</v>
      </c>
      <c r="G481" s="18">
        <f>VLOOKUP(B481,'CPF Table'!$A$13:$E$23,3,TRUE)*F481</f>
        <v>0</v>
      </c>
      <c r="H481" s="18">
        <f>VLOOKUP(B481,'CPF Table'!$A$13:$E$23,4,TRUE)*CPF!F481</f>
        <v>0</v>
      </c>
      <c r="I481" s="18">
        <f>VLOOKUP(B481,'CPF Table'!$A$13:$E$23,5,TRUE)*CPF!F481</f>
        <v>0</v>
      </c>
      <c r="J481" s="103">
        <f t="shared" si="14"/>
        <v>0</v>
      </c>
    </row>
    <row r="482" spans="3:10">
      <c r="C482" s="126">
        <v>0</v>
      </c>
      <c r="D482" s="127">
        <v>0</v>
      </c>
      <c r="E482" s="82">
        <f t="shared" si="15"/>
        <v>0</v>
      </c>
      <c r="F482" s="18">
        <f>IF(VLOOKUP(B482,'CPF Table'!$A$4:$G$8,5,TRUE)*CPF!C482&gt;=VLOOKUP(B482,'CPF Table'!$A$4:$G$8,6,TRUE),VLOOKUP(B482,'CPF Table'!$A$4:$G$8,5,TRUE)*C482+VLOOKUP(B482,'CPF Table'!$A$4:$G$8,5,TRUE)*CPF!D482,VLOOKUP(B482,'CPF Table'!$A$4:$G$8,5,TRUE)*CPF!C482+VLOOKUP(B482,'CPF Table'!$A$4:$G$8,5,TRUE)*CPF!D482)</f>
        <v>0</v>
      </c>
      <c r="G482" s="18">
        <f>VLOOKUP(B482,'CPF Table'!$A$13:$E$23,3,TRUE)*F482</f>
        <v>0</v>
      </c>
      <c r="H482" s="18">
        <f>VLOOKUP(B482,'CPF Table'!$A$13:$E$23,4,TRUE)*CPF!F482</f>
        <v>0</v>
      </c>
      <c r="I482" s="18">
        <f>VLOOKUP(B482,'CPF Table'!$A$13:$E$23,5,TRUE)*CPF!F482</f>
        <v>0</v>
      </c>
      <c r="J482" s="103">
        <f t="shared" si="14"/>
        <v>0</v>
      </c>
    </row>
    <row r="483" spans="3:10">
      <c r="C483" s="126">
        <v>0</v>
      </c>
      <c r="D483" s="127">
        <v>0</v>
      </c>
      <c r="E483" s="82">
        <f t="shared" si="15"/>
        <v>0</v>
      </c>
      <c r="F483" s="18">
        <f>IF(VLOOKUP(B483,'CPF Table'!$A$4:$G$8,5,TRUE)*CPF!C483&gt;=VLOOKUP(B483,'CPF Table'!$A$4:$G$8,6,TRUE),VLOOKUP(B483,'CPF Table'!$A$4:$G$8,5,TRUE)*C483+VLOOKUP(B483,'CPF Table'!$A$4:$G$8,5,TRUE)*CPF!D483,VLOOKUP(B483,'CPF Table'!$A$4:$G$8,5,TRUE)*CPF!C483+VLOOKUP(B483,'CPF Table'!$A$4:$G$8,5,TRUE)*CPF!D483)</f>
        <v>0</v>
      </c>
      <c r="G483" s="18">
        <f>VLOOKUP(B483,'CPF Table'!$A$13:$E$23,3,TRUE)*F483</f>
        <v>0</v>
      </c>
      <c r="H483" s="18">
        <f>VLOOKUP(B483,'CPF Table'!$A$13:$E$23,4,TRUE)*CPF!F483</f>
        <v>0</v>
      </c>
      <c r="I483" s="18">
        <f>VLOOKUP(B483,'CPF Table'!$A$13:$E$23,5,TRUE)*CPF!F483</f>
        <v>0</v>
      </c>
      <c r="J483" s="103">
        <f t="shared" si="14"/>
        <v>0</v>
      </c>
    </row>
    <row r="484" spans="3:10">
      <c r="C484" s="126">
        <v>0</v>
      </c>
      <c r="D484" s="127">
        <v>0</v>
      </c>
      <c r="E484" s="82">
        <f t="shared" si="15"/>
        <v>0</v>
      </c>
      <c r="F484" s="18">
        <f>IF(VLOOKUP(B484,'CPF Table'!$A$4:$G$8,5,TRUE)*CPF!C484&gt;=VLOOKUP(B484,'CPF Table'!$A$4:$G$8,6,TRUE),VLOOKUP(B484,'CPF Table'!$A$4:$G$8,5,TRUE)*C484+VLOOKUP(B484,'CPF Table'!$A$4:$G$8,5,TRUE)*CPF!D484,VLOOKUP(B484,'CPF Table'!$A$4:$G$8,5,TRUE)*CPF!C484+VLOOKUP(B484,'CPF Table'!$A$4:$G$8,5,TRUE)*CPF!D484)</f>
        <v>0</v>
      </c>
      <c r="G484" s="18">
        <f>VLOOKUP(B484,'CPF Table'!$A$13:$E$23,3,TRUE)*F484</f>
        <v>0</v>
      </c>
      <c r="H484" s="18">
        <f>VLOOKUP(B484,'CPF Table'!$A$13:$E$23,4,TRUE)*CPF!F484</f>
        <v>0</v>
      </c>
      <c r="I484" s="18">
        <f>VLOOKUP(B484,'CPF Table'!$A$13:$E$23,5,TRUE)*CPF!F484</f>
        <v>0</v>
      </c>
      <c r="J484" s="103">
        <f t="shared" si="14"/>
        <v>0</v>
      </c>
    </row>
    <row r="485" spans="3:10">
      <c r="C485" s="126">
        <v>0</v>
      </c>
      <c r="D485" s="127">
        <v>0</v>
      </c>
      <c r="E485" s="82">
        <f t="shared" si="15"/>
        <v>0</v>
      </c>
      <c r="F485" s="18">
        <f>IF(VLOOKUP(B485,'CPF Table'!$A$4:$G$8,5,TRUE)*CPF!C485&gt;=VLOOKUP(B485,'CPF Table'!$A$4:$G$8,6,TRUE),VLOOKUP(B485,'CPF Table'!$A$4:$G$8,5,TRUE)*C485+VLOOKUP(B485,'CPF Table'!$A$4:$G$8,5,TRUE)*CPF!D485,VLOOKUP(B485,'CPF Table'!$A$4:$G$8,5,TRUE)*CPF!C485+VLOOKUP(B485,'CPF Table'!$A$4:$G$8,5,TRUE)*CPF!D485)</f>
        <v>0</v>
      </c>
      <c r="G485" s="18">
        <f>VLOOKUP(B485,'CPF Table'!$A$13:$E$23,3,TRUE)*F485</f>
        <v>0</v>
      </c>
      <c r="H485" s="18">
        <f>VLOOKUP(B485,'CPF Table'!$A$13:$E$23,4,TRUE)*CPF!F485</f>
        <v>0</v>
      </c>
      <c r="I485" s="18">
        <f>VLOOKUP(B485,'CPF Table'!$A$13:$E$23,5,TRUE)*CPF!F485</f>
        <v>0</v>
      </c>
      <c r="J485" s="103">
        <f t="shared" si="14"/>
        <v>0</v>
      </c>
    </row>
    <row r="486" spans="3:10">
      <c r="C486" s="126">
        <v>0</v>
      </c>
      <c r="D486" s="127">
        <v>0</v>
      </c>
      <c r="E486" s="82">
        <f t="shared" si="15"/>
        <v>0</v>
      </c>
      <c r="F486" s="18">
        <f>IF(VLOOKUP(B486,'CPF Table'!$A$4:$G$8,5,TRUE)*CPF!C486&gt;=VLOOKUP(B486,'CPF Table'!$A$4:$G$8,6,TRUE),VLOOKUP(B486,'CPF Table'!$A$4:$G$8,5,TRUE)*C486+VLOOKUP(B486,'CPF Table'!$A$4:$G$8,5,TRUE)*CPF!D486,VLOOKUP(B486,'CPF Table'!$A$4:$G$8,5,TRUE)*CPF!C486+VLOOKUP(B486,'CPF Table'!$A$4:$G$8,5,TRUE)*CPF!D486)</f>
        <v>0</v>
      </c>
      <c r="G486" s="18">
        <f>VLOOKUP(B486,'CPF Table'!$A$13:$E$23,3,TRUE)*F486</f>
        <v>0</v>
      </c>
      <c r="H486" s="18">
        <f>VLOOKUP(B486,'CPF Table'!$A$13:$E$23,4,TRUE)*CPF!F486</f>
        <v>0</v>
      </c>
      <c r="I486" s="18">
        <f>VLOOKUP(B486,'CPF Table'!$A$13:$E$23,5,TRUE)*CPF!F486</f>
        <v>0</v>
      </c>
      <c r="J486" s="103">
        <f t="shared" si="14"/>
        <v>0</v>
      </c>
    </row>
    <row r="487" spans="3:10">
      <c r="C487" s="126">
        <v>0</v>
      </c>
      <c r="D487" s="127">
        <v>0</v>
      </c>
      <c r="E487" s="82">
        <f t="shared" si="15"/>
        <v>0</v>
      </c>
      <c r="F487" s="18">
        <f>IF(VLOOKUP(B487,'CPF Table'!$A$4:$G$8,5,TRUE)*CPF!C487&gt;=VLOOKUP(B487,'CPF Table'!$A$4:$G$8,6,TRUE),VLOOKUP(B487,'CPF Table'!$A$4:$G$8,5,TRUE)*C487+VLOOKUP(B487,'CPF Table'!$A$4:$G$8,5,TRUE)*CPF!D487,VLOOKUP(B487,'CPF Table'!$A$4:$G$8,5,TRUE)*CPF!C487+VLOOKUP(B487,'CPF Table'!$A$4:$G$8,5,TRUE)*CPF!D487)</f>
        <v>0</v>
      </c>
      <c r="G487" s="18">
        <f>VLOOKUP(B487,'CPF Table'!$A$13:$E$23,3,TRUE)*F487</f>
        <v>0</v>
      </c>
      <c r="H487" s="18">
        <f>VLOOKUP(B487,'CPF Table'!$A$13:$E$23,4,TRUE)*CPF!F487</f>
        <v>0</v>
      </c>
      <c r="I487" s="18">
        <f>VLOOKUP(B487,'CPF Table'!$A$13:$E$23,5,TRUE)*CPF!F487</f>
        <v>0</v>
      </c>
      <c r="J487" s="103">
        <f t="shared" si="14"/>
        <v>0</v>
      </c>
    </row>
    <row r="488" spans="3:10">
      <c r="C488" s="126">
        <v>0</v>
      </c>
      <c r="D488" s="127">
        <v>0</v>
      </c>
      <c r="E488" s="82">
        <f t="shared" si="15"/>
        <v>0</v>
      </c>
      <c r="F488" s="18">
        <f>IF(VLOOKUP(B488,'CPF Table'!$A$4:$G$8,5,TRUE)*CPF!C488&gt;=VLOOKUP(B488,'CPF Table'!$A$4:$G$8,6,TRUE),VLOOKUP(B488,'CPF Table'!$A$4:$G$8,5,TRUE)*C488+VLOOKUP(B488,'CPF Table'!$A$4:$G$8,5,TRUE)*CPF!D488,VLOOKUP(B488,'CPF Table'!$A$4:$G$8,5,TRUE)*CPF!C488+VLOOKUP(B488,'CPF Table'!$A$4:$G$8,5,TRUE)*CPF!D488)</f>
        <v>0</v>
      </c>
      <c r="G488" s="18">
        <f>VLOOKUP(B488,'CPF Table'!$A$13:$E$23,3,TRUE)*F488</f>
        <v>0</v>
      </c>
      <c r="H488" s="18">
        <f>VLOOKUP(B488,'CPF Table'!$A$13:$E$23,4,TRUE)*CPF!F488</f>
        <v>0</v>
      </c>
      <c r="I488" s="18">
        <f>VLOOKUP(B488,'CPF Table'!$A$13:$E$23,5,TRUE)*CPF!F488</f>
        <v>0</v>
      </c>
      <c r="J488" s="103">
        <f t="shared" si="14"/>
        <v>0</v>
      </c>
    </row>
    <row r="489" spans="3:10">
      <c r="C489" s="126">
        <v>0</v>
      </c>
      <c r="D489" s="127">
        <v>0</v>
      </c>
      <c r="E489" s="82">
        <f t="shared" si="15"/>
        <v>0</v>
      </c>
      <c r="F489" s="18">
        <f>IF(VLOOKUP(B489,'CPF Table'!$A$4:$G$8,5,TRUE)*CPF!C489&gt;=VLOOKUP(B489,'CPF Table'!$A$4:$G$8,6,TRUE),VLOOKUP(B489,'CPF Table'!$A$4:$G$8,5,TRUE)*C489+VLOOKUP(B489,'CPF Table'!$A$4:$G$8,5,TRUE)*CPF!D489,VLOOKUP(B489,'CPF Table'!$A$4:$G$8,5,TRUE)*CPF!C489+VLOOKUP(B489,'CPF Table'!$A$4:$G$8,5,TRUE)*CPF!D489)</f>
        <v>0</v>
      </c>
      <c r="G489" s="18">
        <f>VLOOKUP(B489,'CPF Table'!$A$13:$E$23,3,TRUE)*F489</f>
        <v>0</v>
      </c>
      <c r="H489" s="18">
        <f>VLOOKUP(B489,'CPF Table'!$A$13:$E$23,4,TRUE)*CPF!F489</f>
        <v>0</v>
      </c>
      <c r="I489" s="18">
        <f>VLOOKUP(B489,'CPF Table'!$A$13:$E$23,5,TRUE)*CPF!F489</f>
        <v>0</v>
      </c>
      <c r="J489" s="103">
        <f t="shared" si="14"/>
        <v>0</v>
      </c>
    </row>
    <row r="490" spans="3:10">
      <c r="C490" s="126">
        <v>0</v>
      </c>
      <c r="D490" s="127">
        <v>0</v>
      </c>
      <c r="E490" s="82">
        <f t="shared" si="15"/>
        <v>0</v>
      </c>
      <c r="F490" s="18">
        <f>IF(VLOOKUP(B490,'CPF Table'!$A$4:$G$8,5,TRUE)*CPF!C490&gt;=VLOOKUP(B490,'CPF Table'!$A$4:$G$8,6,TRUE),VLOOKUP(B490,'CPF Table'!$A$4:$G$8,5,TRUE)*C490+VLOOKUP(B490,'CPF Table'!$A$4:$G$8,5,TRUE)*CPF!D490,VLOOKUP(B490,'CPF Table'!$A$4:$G$8,5,TRUE)*CPF!C490+VLOOKUP(B490,'CPF Table'!$A$4:$G$8,5,TRUE)*CPF!D490)</f>
        <v>0</v>
      </c>
      <c r="G490" s="18">
        <f>VLOOKUP(B490,'CPF Table'!$A$13:$E$23,3,TRUE)*F490</f>
        <v>0</v>
      </c>
      <c r="H490" s="18">
        <f>VLOOKUP(B490,'CPF Table'!$A$13:$E$23,4,TRUE)*CPF!F490</f>
        <v>0</v>
      </c>
      <c r="I490" s="18">
        <f>VLOOKUP(B490,'CPF Table'!$A$13:$E$23,5,TRUE)*CPF!F490</f>
        <v>0</v>
      </c>
      <c r="J490" s="103">
        <f t="shared" si="14"/>
        <v>0</v>
      </c>
    </row>
    <row r="491" spans="3:10">
      <c r="C491" s="126">
        <v>0</v>
      </c>
      <c r="D491" s="127">
        <v>0</v>
      </c>
      <c r="E491" s="82">
        <f t="shared" si="15"/>
        <v>0</v>
      </c>
      <c r="F491" s="18">
        <f>IF(VLOOKUP(B491,'CPF Table'!$A$4:$G$8,5,TRUE)*CPF!C491&gt;=VLOOKUP(B491,'CPF Table'!$A$4:$G$8,6,TRUE),VLOOKUP(B491,'CPF Table'!$A$4:$G$8,5,TRUE)*C491+VLOOKUP(B491,'CPF Table'!$A$4:$G$8,5,TRUE)*CPF!D491,VLOOKUP(B491,'CPF Table'!$A$4:$G$8,5,TRUE)*CPF!C491+VLOOKUP(B491,'CPF Table'!$A$4:$G$8,5,TRUE)*CPF!D491)</f>
        <v>0</v>
      </c>
      <c r="G491" s="18">
        <f>VLOOKUP(B491,'CPF Table'!$A$13:$E$23,3,TRUE)*F491</f>
        <v>0</v>
      </c>
      <c r="H491" s="18">
        <f>VLOOKUP(B491,'CPF Table'!$A$13:$E$23,4,TRUE)*CPF!F491</f>
        <v>0</v>
      </c>
      <c r="I491" s="18">
        <f>VLOOKUP(B491,'CPF Table'!$A$13:$E$23,5,TRUE)*CPF!F491</f>
        <v>0</v>
      </c>
      <c r="J491" s="103">
        <f t="shared" si="14"/>
        <v>0</v>
      </c>
    </row>
    <row r="492" spans="3:10">
      <c r="C492" s="126">
        <v>0</v>
      </c>
      <c r="D492" s="127">
        <v>0</v>
      </c>
      <c r="E492" s="82">
        <f t="shared" si="15"/>
        <v>0</v>
      </c>
      <c r="F492" s="18">
        <f>IF(VLOOKUP(B492,'CPF Table'!$A$4:$G$8,5,TRUE)*CPF!C492&gt;=VLOOKUP(B492,'CPF Table'!$A$4:$G$8,6,TRUE),VLOOKUP(B492,'CPF Table'!$A$4:$G$8,5,TRUE)*C492+VLOOKUP(B492,'CPF Table'!$A$4:$G$8,5,TRUE)*CPF!D492,VLOOKUP(B492,'CPF Table'!$A$4:$G$8,5,TRUE)*CPF!C492+VLOOKUP(B492,'CPF Table'!$A$4:$G$8,5,TRUE)*CPF!D492)</f>
        <v>0</v>
      </c>
      <c r="G492" s="18">
        <f>VLOOKUP(B492,'CPF Table'!$A$13:$E$23,3,TRUE)*F492</f>
        <v>0</v>
      </c>
      <c r="H492" s="18">
        <f>VLOOKUP(B492,'CPF Table'!$A$13:$E$23,4,TRUE)*CPF!F492</f>
        <v>0</v>
      </c>
      <c r="I492" s="18">
        <f>VLOOKUP(B492,'CPF Table'!$A$13:$E$23,5,TRUE)*CPF!F492</f>
        <v>0</v>
      </c>
      <c r="J492" s="103">
        <f t="shared" si="14"/>
        <v>0</v>
      </c>
    </row>
    <row r="493" spans="3:10">
      <c r="C493" s="126">
        <v>0</v>
      </c>
      <c r="D493" s="127">
        <v>0</v>
      </c>
      <c r="E493" s="82">
        <f t="shared" si="15"/>
        <v>0</v>
      </c>
      <c r="F493" s="18">
        <f>IF(VLOOKUP(B493,'CPF Table'!$A$4:$G$8,5,TRUE)*CPF!C493&gt;=VLOOKUP(B493,'CPF Table'!$A$4:$G$8,6,TRUE),VLOOKUP(B493,'CPF Table'!$A$4:$G$8,5,TRUE)*C493+VLOOKUP(B493,'CPF Table'!$A$4:$G$8,5,TRUE)*CPF!D493,VLOOKUP(B493,'CPF Table'!$A$4:$G$8,5,TRUE)*CPF!C493+VLOOKUP(B493,'CPF Table'!$A$4:$G$8,5,TRUE)*CPF!D493)</f>
        <v>0</v>
      </c>
      <c r="G493" s="18">
        <f>VLOOKUP(B493,'CPF Table'!$A$13:$E$23,3,TRUE)*F493</f>
        <v>0</v>
      </c>
      <c r="H493" s="18">
        <f>VLOOKUP(B493,'CPF Table'!$A$13:$E$23,4,TRUE)*CPF!F493</f>
        <v>0</v>
      </c>
      <c r="I493" s="18">
        <f>VLOOKUP(B493,'CPF Table'!$A$13:$E$23,5,TRUE)*CPF!F493</f>
        <v>0</v>
      </c>
      <c r="J493" s="103">
        <f t="shared" si="14"/>
        <v>0</v>
      </c>
    </row>
    <row r="494" spans="3:10">
      <c r="C494" s="126">
        <v>0</v>
      </c>
      <c r="D494" s="127">
        <v>0</v>
      </c>
      <c r="E494" s="82">
        <f t="shared" si="15"/>
        <v>0</v>
      </c>
      <c r="F494" s="18">
        <f>IF(VLOOKUP(B494,'CPF Table'!$A$4:$G$8,5,TRUE)*CPF!C494&gt;=VLOOKUP(B494,'CPF Table'!$A$4:$G$8,6,TRUE),VLOOKUP(B494,'CPF Table'!$A$4:$G$8,5,TRUE)*C494+VLOOKUP(B494,'CPF Table'!$A$4:$G$8,5,TRUE)*CPF!D494,VLOOKUP(B494,'CPF Table'!$A$4:$G$8,5,TRUE)*CPF!C494+VLOOKUP(B494,'CPF Table'!$A$4:$G$8,5,TRUE)*CPF!D494)</f>
        <v>0</v>
      </c>
      <c r="G494" s="18">
        <f>VLOOKUP(B494,'CPF Table'!$A$13:$E$23,3,TRUE)*F494</f>
        <v>0</v>
      </c>
      <c r="H494" s="18">
        <f>VLOOKUP(B494,'CPF Table'!$A$13:$E$23,4,TRUE)*CPF!F494</f>
        <v>0</v>
      </c>
      <c r="I494" s="18">
        <f>VLOOKUP(B494,'CPF Table'!$A$13:$E$23,5,TRUE)*CPF!F494</f>
        <v>0</v>
      </c>
      <c r="J494" s="103">
        <f t="shared" si="14"/>
        <v>0</v>
      </c>
    </row>
    <row r="495" spans="3:10">
      <c r="C495" s="126">
        <v>0</v>
      </c>
      <c r="D495" s="127">
        <v>0</v>
      </c>
      <c r="E495" s="82">
        <f t="shared" si="15"/>
        <v>0</v>
      </c>
      <c r="F495" s="18">
        <f>IF(VLOOKUP(B495,'CPF Table'!$A$4:$G$8,5,TRUE)*CPF!C495&gt;=VLOOKUP(B495,'CPF Table'!$A$4:$G$8,6,TRUE),VLOOKUP(B495,'CPF Table'!$A$4:$G$8,5,TRUE)*C495+VLOOKUP(B495,'CPF Table'!$A$4:$G$8,5,TRUE)*CPF!D495,VLOOKUP(B495,'CPF Table'!$A$4:$G$8,5,TRUE)*CPF!C495+VLOOKUP(B495,'CPF Table'!$A$4:$G$8,5,TRUE)*CPF!D495)</f>
        <v>0</v>
      </c>
      <c r="G495" s="18">
        <f>VLOOKUP(B495,'CPF Table'!$A$13:$E$23,3,TRUE)*F495</f>
        <v>0</v>
      </c>
      <c r="H495" s="18">
        <f>VLOOKUP(B495,'CPF Table'!$A$13:$E$23,4,TRUE)*CPF!F495</f>
        <v>0</v>
      </c>
      <c r="I495" s="18">
        <f>VLOOKUP(B495,'CPF Table'!$A$13:$E$23,5,TRUE)*CPF!F495</f>
        <v>0</v>
      </c>
      <c r="J495" s="103">
        <f t="shared" si="14"/>
        <v>0</v>
      </c>
    </row>
    <row r="496" spans="3:10">
      <c r="C496" s="126">
        <v>0</v>
      </c>
      <c r="D496" s="127">
        <v>0</v>
      </c>
      <c r="E496" s="82">
        <f t="shared" si="15"/>
        <v>0</v>
      </c>
      <c r="F496" s="18">
        <f>IF(VLOOKUP(B496,'CPF Table'!$A$4:$G$8,5,TRUE)*CPF!C496&gt;=VLOOKUP(B496,'CPF Table'!$A$4:$G$8,6,TRUE),VLOOKUP(B496,'CPF Table'!$A$4:$G$8,5,TRUE)*C496+VLOOKUP(B496,'CPF Table'!$A$4:$G$8,5,TRUE)*CPF!D496,VLOOKUP(B496,'CPF Table'!$A$4:$G$8,5,TRUE)*CPF!C496+VLOOKUP(B496,'CPF Table'!$A$4:$G$8,5,TRUE)*CPF!D496)</f>
        <v>0</v>
      </c>
      <c r="G496" s="18">
        <f>VLOOKUP(B496,'CPF Table'!$A$13:$E$23,3,TRUE)*F496</f>
        <v>0</v>
      </c>
      <c r="H496" s="18">
        <f>VLOOKUP(B496,'CPF Table'!$A$13:$E$23,4,TRUE)*CPF!F496</f>
        <v>0</v>
      </c>
      <c r="I496" s="18">
        <f>VLOOKUP(B496,'CPF Table'!$A$13:$E$23,5,TRUE)*CPF!F496</f>
        <v>0</v>
      </c>
      <c r="J496" s="103">
        <f t="shared" si="14"/>
        <v>0</v>
      </c>
    </row>
    <row r="497" spans="3:10">
      <c r="C497" s="126">
        <v>0</v>
      </c>
      <c r="D497" s="127">
        <v>0</v>
      </c>
      <c r="E497" s="82">
        <f t="shared" si="15"/>
        <v>0</v>
      </c>
      <c r="F497" s="18">
        <f>IF(VLOOKUP(B497,'CPF Table'!$A$4:$G$8,5,TRUE)*CPF!C497&gt;=VLOOKUP(B497,'CPF Table'!$A$4:$G$8,6,TRUE),VLOOKUP(B497,'CPF Table'!$A$4:$G$8,5,TRUE)*C497+VLOOKUP(B497,'CPF Table'!$A$4:$G$8,5,TRUE)*CPF!D497,VLOOKUP(B497,'CPF Table'!$A$4:$G$8,5,TRUE)*CPF!C497+VLOOKUP(B497,'CPF Table'!$A$4:$G$8,5,TRUE)*CPF!D497)</f>
        <v>0</v>
      </c>
      <c r="G497" s="18">
        <f>VLOOKUP(B497,'CPF Table'!$A$13:$E$23,3,TRUE)*F497</f>
        <v>0</v>
      </c>
      <c r="H497" s="18">
        <f>VLOOKUP(B497,'CPF Table'!$A$13:$E$23,4,TRUE)*CPF!F497</f>
        <v>0</v>
      </c>
      <c r="I497" s="18">
        <f>VLOOKUP(B497,'CPF Table'!$A$13:$E$23,5,TRUE)*CPF!F497</f>
        <v>0</v>
      </c>
      <c r="J497" s="103">
        <f t="shared" si="14"/>
        <v>0</v>
      </c>
    </row>
    <row r="498" spans="3:10">
      <c r="C498" s="126">
        <v>0</v>
      </c>
      <c r="D498" s="127">
        <v>0</v>
      </c>
      <c r="E498" s="82">
        <f t="shared" si="15"/>
        <v>0</v>
      </c>
      <c r="F498" s="18">
        <f>IF(VLOOKUP(B498,'CPF Table'!$A$4:$G$8,5,TRUE)*CPF!C498&gt;=VLOOKUP(B498,'CPF Table'!$A$4:$G$8,6,TRUE),VLOOKUP(B498,'CPF Table'!$A$4:$G$8,5,TRUE)*C498+VLOOKUP(B498,'CPF Table'!$A$4:$G$8,5,TRUE)*CPF!D498,VLOOKUP(B498,'CPF Table'!$A$4:$G$8,5,TRUE)*CPF!C498+VLOOKUP(B498,'CPF Table'!$A$4:$G$8,5,TRUE)*CPF!D498)</f>
        <v>0</v>
      </c>
      <c r="G498" s="18">
        <f>VLOOKUP(B498,'CPF Table'!$A$13:$E$23,3,TRUE)*F498</f>
        <v>0</v>
      </c>
      <c r="H498" s="18">
        <f>VLOOKUP(B498,'CPF Table'!$A$13:$E$23,4,TRUE)*CPF!F498</f>
        <v>0</v>
      </c>
      <c r="I498" s="18">
        <f>VLOOKUP(B498,'CPF Table'!$A$13:$E$23,5,TRUE)*CPF!F498</f>
        <v>0</v>
      </c>
      <c r="J498" s="103">
        <f t="shared" si="14"/>
        <v>0</v>
      </c>
    </row>
    <row r="499" spans="3:10">
      <c r="C499" s="126">
        <v>0</v>
      </c>
      <c r="D499" s="127">
        <v>0</v>
      </c>
      <c r="E499" s="82">
        <f t="shared" si="15"/>
        <v>0</v>
      </c>
      <c r="F499" s="18">
        <f>IF(VLOOKUP(B499,'CPF Table'!$A$4:$G$8,5,TRUE)*CPF!C499&gt;=VLOOKUP(B499,'CPF Table'!$A$4:$G$8,6,TRUE),VLOOKUP(B499,'CPF Table'!$A$4:$G$8,5,TRUE)*C499+VLOOKUP(B499,'CPF Table'!$A$4:$G$8,5,TRUE)*CPF!D499,VLOOKUP(B499,'CPF Table'!$A$4:$G$8,5,TRUE)*CPF!C499+VLOOKUP(B499,'CPF Table'!$A$4:$G$8,5,TRUE)*CPF!D499)</f>
        <v>0</v>
      </c>
      <c r="G499" s="18">
        <f>VLOOKUP(B499,'CPF Table'!$A$13:$E$23,3,TRUE)*F499</f>
        <v>0</v>
      </c>
      <c r="H499" s="18">
        <f>VLOOKUP(B499,'CPF Table'!$A$13:$E$23,4,TRUE)*CPF!F499</f>
        <v>0</v>
      </c>
      <c r="I499" s="18">
        <f>VLOOKUP(B499,'CPF Table'!$A$13:$E$23,5,TRUE)*CPF!F499</f>
        <v>0</v>
      </c>
      <c r="J499" s="103">
        <f t="shared" si="14"/>
        <v>0</v>
      </c>
    </row>
    <row r="500" spans="3:10">
      <c r="C500" s="126">
        <v>0</v>
      </c>
      <c r="D500" s="127">
        <v>0</v>
      </c>
      <c r="E500" s="82">
        <f t="shared" si="15"/>
        <v>0</v>
      </c>
      <c r="F500" s="18">
        <f>IF(VLOOKUP(B500,'CPF Table'!$A$4:$G$8,5,TRUE)*CPF!C500&gt;=VLOOKUP(B500,'CPF Table'!$A$4:$G$8,6,TRUE),VLOOKUP(B500,'CPF Table'!$A$4:$G$8,5,TRUE)*C500+VLOOKUP(B500,'CPF Table'!$A$4:$G$8,5,TRUE)*CPF!D500,VLOOKUP(B500,'CPF Table'!$A$4:$G$8,5,TRUE)*CPF!C500+VLOOKUP(B500,'CPF Table'!$A$4:$G$8,5,TRUE)*CPF!D500)</f>
        <v>0</v>
      </c>
      <c r="G500" s="18">
        <f>VLOOKUP(B500,'CPF Table'!$A$13:$E$23,3,TRUE)*F500</f>
        <v>0</v>
      </c>
      <c r="H500" s="18">
        <f>VLOOKUP(B500,'CPF Table'!$A$13:$E$23,4,TRUE)*CPF!F500</f>
        <v>0</v>
      </c>
      <c r="I500" s="18">
        <f>VLOOKUP(B500,'CPF Table'!$A$13:$E$23,5,TRUE)*CPF!F500</f>
        <v>0</v>
      </c>
      <c r="J500" s="103">
        <f t="shared" si="14"/>
        <v>0</v>
      </c>
    </row>
    <row r="501" spans="3:10">
      <c r="C501" s="126">
        <v>0</v>
      </c>
      <c r="D501" s="127">
        <v>0</v>
      </c>
      <c r="E501" s="82">
        <f t="shared" si="15"/>
        <v>0</v>
      </c>
      <c r="F501" s="18">
        <f>IF(VLOOKUP(B501,'CPF Table'!$A$4:$G$8,5,TRUE)*CPF!C501&gt;=VLOOKUP(B501,'CPF Table'!$A$4:$G$8,6,TRUE),VLOOKUP(B501,'CPF Table'!$A$4:$G$8,5,TRUE)*C501+VLOOKUP(B501,'CPF Table'!$A$4:$G$8,5,TRUE)*CPF!D501,VLOOKUP(B501,'CPF Table'!$A$4:$G$8,5,TRUE)*CPF!C501+VLOOKUP(B501,'CPF Table'!$A$4:$G$8,5,TRUE)*CPF!D501)</f>
        <v>0</v>
      </c>
      <c r="G501" s="18">
        <f>VLOOKUP(B501,'CPF Table'!$A$13:$E$23,3,TRUE)*F501</f>
        <v>0</v>
      </c>
      <c r="H501" s="18">
        <f>VLOOKUP(B501,'CPF Table'!$A$13:$E$23,4,TRUE)*CPF!F501</f>
        <v>0</v>
      </c>
      <c r="I501" s="18">
        <f>VLOOKUP(B501,'CPF Table'!$A$13:$E$23,5,TRUE)*CPF!F501</f>
        <v>0</v>
      </c>
      <c r="J501" s="103">
        <f t="shared" si="14"/>
        <v>0</v>
      </c>
    </row>
    <row r="502" spans="3:10">
      <c r="C502" s="126">
        <v>0</v>
      </c>
      <c r="D502" s="127">
        <v>0</v>
      </c>
      <c r="E502" s="82">
        <f t="shared" si="15"/>
        <v>0</v>
      </c>
      <c r="F502" s="18">
        <f>IF(VLOOKUP(B502,'CPF Table'!$A$4:$G$8,5,TRUE)*CPF!C502&gt;=VLOOKUP(B502,'CPF Table'!$A$4:$G$8,6,TRUE),VLOOKUP(B502,'CPF Table'!$A$4:$G$8,5,TRUE)*C502+VLOOKUP(B502,'CPF Table'!$A$4:$G$8,5,TRUE)*CPF!D502,VLOOKUP(B502,'CPF Table'!$A$4:$G$8,5,TRUE)*CPF!C502+VLOOKUP(B502,'CPF Table'!$A$4:$G$8,5,TRUE)*CPF!D502)</f>
        <v>0</v>
      </c>
      <c r="G502" s="18">
        <f>VLOOKUP(B502,'CPF Table'!$A$13:$E$23,3,TRUE)*F502</f>
        <v>0</v>
      </c>
      <c r="H502" s="18">
        <f>VLOOKUP(B502,'CPF Table'!$A$13:$E$23,4,TRUE)*CPF!F502</f>
        <v>0</v>
      </c>
      <c r="I502" s="18">
        <f>VLOOKUP(B502,'CPF Table'!$A$13:$E$23,5,TRUE)*CPF!F502</f>
        <v>0</v>
      </c>
      <c r="J502" s="103">
        <f t="shared" si="14"/>
        <v>0</v>
      </c>
    </row>
    <row r="503" spans="3:10">
      <c r="C503" s="126">
        <v>0</v>
      </c>
      <c r="D503" s="127">
        <v>0</v>
      </c>
      <c r="E503" s="82">
        <f t="shared" si="15"/>
        <v>0</v>
      </c>
      <c r="F503" s="18">
        <f>IF(VLOOKUP(B503,'CPF Table'!$A$4:$G$8,5,TRUE)*CPF!C503&gt;=VLOOKUP(B503,'CPF Table'!$A$4:$G$8,6,TRUE),VLOOKUP(B503,'CPF Table'!$A$4:$G$8,5,TRUE)*C503+VLOOKUP(B503,'CPF Table'!$A$4:$G$8,5,TRUE)*CPF!D503,VLOOKUP(B503,'CPF Table'!$A$4:$G$8,5,TRUE)*CPF!C503+VLOOKUP(B503,'CPF Table'!$A$4:$G$8,5,TRUE)*CPF!D503)</f>
        <v>0</v>
      </c>
      <c r="G503" s="18">
        <f>VLOOKUP(B503,'CPF Table'!$A$13:$E$23,3,TRUE)*F503</f>
        <v>0</v>
      </c>
      <c r="H503" s="18">
        <f>VLOOKUP(B503,'CPF Table'!$A$13:$E$23,4,TRUE)*CPF!F503</f>
        <v>0</v>
      </c>
      <c r="I503" s="18">
        <f>VLOOKUP(B503,'CPF Table'!$A$13:$E$23,5,TRUE)*CPF!F503</f>
        <v>0</v>
      </c>
      <c r="J503" s="103">
        <f t="shared" si="14"/>
        <v>0</v>
      </c>
    </row>
    <row r="504" spans="3:10">
      <c r="C504" s="126">
        <v>0</v>
      </c>
      <c r="D504" s="127">
        <v>0</v>
      </c>
      <c r="E504" s="82">
        <f t="shared" si="15"/>
        <v>0</v>
      </c>
      <c r="F504" s="18">
        <f>IF(VLOOKUP(B504,'CPF Table'!$A$4:$G$8,5,TRUE)*CPF!C504&gt;=VLOOKUP(B504,'CPF Table'!$A$4:$G$8,6,TRUE),VLOOKUP(B504,'CPF Table'!$A$4:$G$8,5,TRUE)*C504+VLOOKUP(B504,'CPF Table'!$A$4:$G$8,5,TRUE)*CPF!D504,VLOOKUP(B504,'CPF Table'!$A$4:$G$8,5,TRUE)*CPF!C504+VLOOKUP(B504,'CPF Table'!$A$4:$G$8,5,TRUE)*CPF!D504)</f>
        <v>0</v>
      </c>
      <c r="G504" s="18">
        <f>VLOOKUP(B504,'CPF Table'!$A$13:$E$23,3,TRUE)*F504</f>
        <v>0</v>
      </c>
      <c r="H504" s="18">
        <f>VLOOKUP(B504,'CPF Table'!$A$13:$E$23,4,TRUE)*CPF!F504</f>
        <v>0</v>
      </c>
      <c r="I504" s="18">
        <f>VLOOKUP(B504,'CPF Table'!$A$13:$E$23,5,TRUE)*CPF!F504</f>
        <v>0</v>
      </c>
      <c r="J504" s="103">
        <f t="shared" si="14"/>
        <v>0</v>
      </c>
    </row>
    <row r="505" spans="3:10">
      <c r="C505" s="126">
        <v>0</v>
      </c>
      <c r="D505" s="127">
        <v>0</v>
      </c>
      <c r="E505" s="82">
        <f t="shared" si="15"/>
        <v>0</v>
      </c>
      <c r="F505" s="18">
        <f>IF(VLOOKUP(B505,'CPF Table'!$A$4:$G$8,5,TRUE)*CPF!C505&gt;=VLOOKUP(B505,'CPF Table'!$A$4:$G$8,6,TRUE),VLOOKUP(B505,'CPF Table'!$A$4:$G$8,5,TRUE)*C505+VLOOKUP(B505,'CPF Table'!$A$4:$G$8,5,TRUE)*CPF!D505,VLOOKUP(B505,'CPF Table'!$A$4:$G$8,5,TRUE)*CPF!C505+VLOOKUP(B505,'CPF Table'!$A$4:$G$8,5,TRUE)*CPF!D505)</f>
        <v>0</v>
      </c>
      <c r="G505" s="18">
        <f>VLOOKUP(B505,'CPF Table'!$A$13:$E$23,3,TRUE)*F505</f>
        <v>0</v>
      </c>
      <c r="H505" s="18">
        <f>VLOOKUP(B505,'CPF Table'!$A$13:$E$23,4,TRUE)*CPF!F505</f>
        <v>0</v>
      </c>
      <c r="I505" s="18">
        <f>VLOOKUP(B505,'CPF Table'!$A$13:$E$23,5,TRUE)*CPF!F505</f>
        <v>0</v>
      </c>
      <c r="J505" s="103">
        <f t="shared" si="14"/>
        <v>0</v>
      </c>
    </row>
    <row r="506" spans="3:10">
      <c r="C506" s="126">
        <v>0</v>
      </c>
      <c r="D506" s="127">
        <v>0</v>
      </c>
      <c r="E506" s="82">
        <f t="shared" si="15"/>
        <v>0</v>
      </c>
      <c r="F506" s="18">
        <f>IF(VLOOKUP(B506,'CPF Table'!$A$4:$G$8,5,TRUE)*CPF!C506&gt;=VLOOKUP(B506,'CPF Table'!$A$4:$G$8,6,TRUE),VLOOKUP(B506,'CPF Table'!$A$4:$G$8,5,TRUE)*C506+VLOOKUP(B506,'CPF Table'!$A$4:$G$8,5,TRUE)*CPF!D506,VLOOKUP(B506,'CPF Table'!$A$4:$G$8,5,TRUE)*CPF!C506+VLOOKUP(B506,'CPF Table'!$A$4:$G$8,5,TRUE)*CPF!D506)</f>
        <v>0</v>
      </c>
      <c r="G506" s="18">
        <f>VLOOKUP(B506,'CPF Table'!$A$13:$E$23,3,TRUE)*F506</f>
        <v>0</v>
      </c>
      <c r="H506" s="18">
        <f>VLOOKUP(B506,'CPF Table'!$A$13:$E$23,4,TRUE)*CPF!F506</f>
        <v>0</v>
      </c>
      <c r="I506" s="18">
        <f>VLOOKUP(B506,'CPF Table'!$A$13:$E$23,5,TRUE)*CPF!F506</f>
        <v>0</v>
      </c>
      <c r="J506" s="103">
        <f t="shared" si="14"/>
        <v>0</v>
      </c>
    </row>
    <row r="507" spans="3:10">
      <c r="C507" s="126">
        <v>0</v>
      </c>
      <c r="D507" s="127">
        <v>0</v>
      </c>
      <c r="E507" s="82">
        <f t="shared" si="15"/>
        <v>0</v>
      </c>
      <c r="F507" s="18">
        <f>IF(VLOOKUP(B507,'CPF Table'!$A$4:$G$8,5,TRUE)*CPF!C507&gt;=VLOOKUP(B507,'CPF Table'!$A$4:$G$8,6,TRUE),VLOOKUP(B507,'CPF Table'!$A$4:$G$8,5,TRUE)*C507+VLOOKUP(B507,'CPF Table'!$A$4:$G$8,5,TRUE)*CPF!D507,VLOOKUP(B507,'CPF Table'!$A$4:$G$8,5,TRUE)*CPF!C507+VLOOKUP(B507,'CPF Table'!$A$4:$G$8,5,TRUE)*CPF!D507)</f>
        <v>0</v>
      </c>
      <c r="G507" s="18">
        <f>VLOOKUP(B507,'CPF Table'!$A$13:$E$23,3,TRUE)*F507</f>
        <v>0</v>
      </c>
      <c r="H507" s="18">
        <f>VLOOKUP(B507,'CPF Table'!$A$13:$E$23,4,TRUE)*CPF!F507</f>
        <v>0</v>
      </c>
      <c r="I507" s="18">
        <f>VLOOKUP(B507,'CPF Table'!$A$13:$E$23,5,TRUE)*CPF!F507</f>
        <v>0</v>
      </c>
      <c r="J507" s="103">
        <f t="shared" si="14"/>
        <v>0</v>
      </c>
    </row>
    <row r="508" spans="3:10">
      <c r="C508" s="126">
        <v>0</v>
      </c>
      <c r="D508" s="127">
        <v>0</v>
      </c>
      <c r="E508" s="82">
        <f t="shared" si="15"/>
        <v>0</v>
      </c>
      <c r="F508" s="18">
        <f>IF(VLOOKUP(B508,'CPF Table'!$A$4:$G$8,5,TRUE)*CPF!C508&gt;=VLOOKUP(B508,'CPF Table'!$A$4:$G$8,6,TRUE),VLOOKUP(B508,'CPF Table'!$A$4:$G$8,5,TRUE)*C508+VLOOKUP(B508,'CPF Table'!$A$4:$G$8,5,TRUE)*CPF!D508,VLOOKUP(B508,'CPF Table'!$A$4:$G$8,5,TRUE)*CPF!C508+VLOOKUP(B508,'CPF Table'!$A$4:$G$8,5,TRUE)*CPF!D508)</f>
        <v>0</v>
      </c>
      <c r="G508" s="18">
        <f>VLOOKUP(B508,'CPF Table'!$A$13:$E$23,3,TRUE)*F508</f>
        <v>0</v>
      </c>
      <c r="H508" s="18">
        <f>VLOOKUP(B508,'CPF Table'!$A$13:$E$23,4,TRUE)*CPF!F508</f>
        <v>0</v>
      </c>
      <c r="I508" s="18">
        <f>VLOOKUP(B508,'CPF Table'!$A$13:$E$23,5,TRUE)*CPF!F508</f>
        <v>0</v>
      </c>
      <c r="J508" s="103">
        <f t="shared" si="14"/>
        <v>0</v>
      </c>
    </row>
    <row r="509" spans="3:10">
      <c r="C509" s="126">
        <v>0</v>
      </c>
      <c r="D509" s="127">
        <v>0</v>
      </c>
      <c r="E509" s="82">
        <f t="shared" si="15"/>
        <v>0</v>
      </c>
      <c r="F509" s="18">
        <f>IF(VLOOKUP(B509,'CPF Table'!$A$4:$G$8,5,TRUE)*CPF!C509&gt;=VLOOKUP(B509,'CPF Table'!$A$4:$G$8,6,TRUE),VLOOKUP(B509,'CPF Table'!$A$4:$G$8,5,TRUE)*C509+VLOOKUP(B509,'CPF Table'!$A$4:$G$8,5,TRUE)*CPF!D509,VLOOKUP(B509,'CPF Table'!$A$4:$G$8,5,TRUE)*CPF!C509+VLOOKUP(B509,'CPF Table'!$A$4:$G$8,5,TRUE)*CPF!D509)</f>
        <v>0</v>
      </c>
      <c r="G509" s="18">
        <f>VLOOKUP(B509,'CPF Table'!$A$13:$E$23,3,TRUE)*F509</f>
        <v>0</v>
      </c>
      <c r="H509" s="18">
        <f>VLOOKUP(B509,'CPF Table'!$A$13:$E$23,4,TRUE)*CPF!F509</f>
        <v>0</v>
      </c>
      <c r="I509" s="18">
        <f>VLOOKUP(B509,'CPF Table'!$A$13:$E$23,5,TRUE)*CPF!F509</f>
        <v>0</v>
      </c>
      <c r="J509" s="103">
        <f t="shared" si="14"/>
        <v>0</v>
      </c>
    </row>
    <row r="510" spans="3:10">
      <c r="C510" s="126">
        <v>0</v>
      </c>
      <c r="D510" s="127">
        <v>0</v>
      </c>
      <c r="E510" s="82">
        <f t="shared" si="15"/>
        <v>0</v>
      </c>
      <c r="F510" s="18">
        <f>IF(VLOOKUP(B510,'CPF Table'!$A$4:$G$8,5,TRUE)*CPF!C510&gt;=VLOOKUP(B510,'CPF Table'!$A$4:$G$8,6,TRUE),VLOOKUP(B510,'CPF Table'!$A$4:$G$8,5,TRUE)*C510+VLOOKUP(B510,'CPF Table'!$A$4:$G$8,5,TRUE)*CPF!D510,VLOOKUP(B510,'CPF Table'!$A$4:$G$8,5,TRUE)*CPF!C510+VLOOKUP(B510,'CPF Table'!$A$4:$G$8,5,TRUE)*CPF!D510)</f>
        <v>0</v>
      </c>
      <c r="G510" s="18">
        <f>VLOOKUP(B510,'CPF Table'!$A$13:$E$23,3,TRUE)*F510</f>
        <v>0</v>
      </c>
      <c r="H510" s="18">
        <f>VLOOKUP(B510,'CPF Table'!$A$13:$E$23,4,TRUE)*CPF!F510</f>
        <v>0</v>
      </c>
      <c r="I510" s="18">
        <f>VLOOKUP(B510,'CPF Table'!$A$13:$E$23,5,TRUE)*CPF!F510</f>
        <v>0</v>
      </c>
      <c r="J510" s="103">
        <f t="shared" si="14"/>
        <v>0</v>
      </c>
    </row>
    <row r="511" spans="3:10">
      <c r="C511" s="126">
        <v>0</v>
      </c>
      <c r="D511" s="127">
        <v>0</v>
      </c>
      <c r="E511" s="82">
        <f t="shared" si="15"/>
        <v>0</v>
      </c>
      <c r="F511" s="18">
        <f>IF(VLOOKUP(B511,'CPF Table'!$A$4:$G$8,5,TRUE)*CPF!C511&gt;=VLOOKUP(B511,'CPF Table'!$A$4:$G$8,6,TRUE),VLOOKUP(B511,'CPF Table'!$A$4:$G$8,5,TRUE)*C511+VLOOKUP(B511,'CPF Table'!$A$4:$G$8,5,TRUE)*CPF!D511,VLOOKUP(B511,'CPF Table'!$A$4:$G$8,5,TRUE)*CPF!C511+VLOOKUP(B511,'CPF Table'!$A$4:$G$8,5,TRUE)*CPF!D511)</f>
        <v>0</v>
      </c>
      <c r="G511" s="18">
        <f>VLOOKUP(B511,'CPF Table'!$A$13:$E$23,3,TRUE)*F511</f>
        <v>0</v>
      </c>
      <c r="H511" s="18">
        <f>VLOOKUP(B511,'CPF Table'!$A$13:$E$23,4,TRUE)*CPF!F511</f>
        <v>0</v>
      </c>
      <c r="I511" s="18">
        <f>VLOOKUP(B511,'CPF Table'!$A$13:$E$23,5,TRUE)*CPF!F511</f>
        <v>0</v>
      </c>
      <c r="J511" s="103">
        <f t="shared" si="14"/>
        <v>0</v>
      </c>
    </row>
    <row r="512" spans="3:10">
      <c r="C512" s="126">
        <v>0</v>
      </c>
      <c r="D512" s="127">
        <v>0</v>
      </c>
      <c r="E512" s="82">
        <f t="shared" si="15"/>
        <v>0</v>
      </c>
      <c r="F512" s="18">
        <f>IF(VLOOKUP(B512,'CPF Table'!$A$4:$G$8,5,TRUE)*CPF!C512&gt;=VLOOKUP(B512,'CPF Table'!$A$4:$G$8,6,TRUE),VLOOKUP(B512,'CPF Table'!$A$4:$G$8,5,TRUE)*C512+VLOOKUP(B512,'CPF Table'!$A$4:$G$8,5,TRUE)*CPF!D512,VLOOKUP(B512,'CPF Table'!$A$4:$G$8,5,TRUE)*CPF!C512+VLOOKUP(B512,'CPF Table'!$A$4:$G$8,5,TRUE)*CPF!D512)</f>
        <v>0</v>
      </c>
      <c r="G512" s="18">
        <f>VLOOKUP(B512,'CPF Table'!$A$13:$E$23,3,TRUE)*F512</f>
        <v>0</v>
      </c>
      <c r="H512" s="18">
        <f>VLOOKUP(B512,'CPF Table'!$A$13:$E$23,4,TRUE)*CPF!F512</f>
        <v>0</v>
      </c>
      <c r="I512" s="18">
        <f>VLOOKUP(B512,'CPF Table'!$A$13:$E$23,5,TRUE)*CPF!F512</f>
        <v>0</v>
      </c>
      <c r="J512" s="103">
        <f t="shared" si="14"/>
        <v>0</v>
      </c>
    </row>
    <row r="513" spans="3:10">
      <c r="C513" s="126">
        <v>0</v>
      </c>
      <c r="D513" s="127">
        <v>0</v>
      </c>
      <c r="E513" s="82">
        <f t="shared" si="15"/>
        <v>0</v>
      </c>
      <c r="F513" s="18">
        <f>IF(VLOOKUP(B513,'CPF Table'!$A$4:$G$8,5,TRUE)*CPF!C513&gt;=VLOOKUP(B513,'CPF Table'!$A$4:$G$8,6,TRUE),VLOOKUP(B513,'CPF Table'!$A$4:$G$8,5,TRUE)*C513+VLOOKUP(B513,'CPF Table'!$A$4:$G$8,5,TRUE)*CPF!D513,VLOOKUP(B513,'CPF Table'!$A$4:$G$8,5,TRUE)*CPF!C513+VLOOKUP(B513,'CPF Table'!$A$4:$G$8,5,TRUE)*CPF!D513)</f>
        <v>0</v>
      </c>
      <c r="G513" s="18">
        <f>VLOOKUP(B513,'CPF Table'!$A$13:$E$23,3,TRUE)*F513</f>
        <v>0</v>
      </c>
      <c r="H513" s="18">
        <f>VLOOKUP(B513,'CPF Table'!$A$13:$E$23,4,TRUE)*CPF!F513</f>
        <v>0</v>
      </c>
      <c r="I513" s="18">
        <f>VLOOKUP(B513,'CPF Table'!$A$13:$E$23,5,TRUE)*CPF!F513</f>
        <v>0</v>
      </c>
      <c r="J513" s="103">
        <f t="shared" si="14"/>
        <v>0</v>
      </c>
    </row>
    <row r="514" spans="3:10">
      <c r="C514" s="126">
        <v>0</v>
      </c>
      <c r="D514" s="127">
        <v>0</v>
      </c>
      <c r="E514" s="82">
        <f t="shared" si="15"/>
        <v>0</v>
      </c>
      <c r="F514" s="18">
        <f>IF(VLOOKUP(B514,'CPF Table'!$A$4:$G$8,5,TRUE)*CPF!C514&gt;=VLOOKUP(B514,'CPF Table'!$A$4:$G$8,6,TRUE),VLOOKUP(B514,'CPF Table'!$A$4:$G$8,5,TRUE)*C514+VLOOKUP(B514,'CPF Table'!$A$4:$G$8,5,TRUE)*CPF!D514,VLOOKUP(B514,'CPF Table'!$A$4:$G$8,5,TRUE)*CPF!C514+VLOOKUP(B514,'CPF Table'!$A$4:$G$8,5,TRUE)*CPF!D514)</f>
        <v>0</v>
      </c>
      <c r="G514" s="18">
        <f>VLOOKUP(B514,'CPF Table'!$A$13:$E$23,3,TRUE)*F514</f>
        <v>0</v>
      </c>
      <c r="H514" s="18">
        <f>VLOOKUP(B514,'CPF Table'!$A$13:$E$23,4,TRUE)*CPF!F514</f>
        <v>0</v>
      </c>
      <c r="I514" s="18">
        <f>VLOOKUP(B514,'CPF Table'!$A$13:$E$23,5,TRUE)*CPF!F514</f>
        <v>0</v>
      </c>
      <c r="J514" s="103">
        <f t="shared" si="14"/>
        <v>0</v>
      </c>
    </row>
    <row r="515" spans="3:10">
      <c r="C515" s="126">
        <v>0</v>
      </c>
      <c r="D515" s="127">
        <v>0</v>
      </c>
      <c r="E515" s="82">
        <f t="shared" si="15"/>
        <v>0</v>
      </c>
      <c r="F515" s="18">
        <f>IF(VLOOKUP(B515,'CPF Table'!$A$4:$G$8,5,TRUE)*CPF!C515&gt;=VLOOKUP(B515,'CPF Table'!$A$4:$G$8,6,TRUE),VLOOKUP(B515,'CPF Table'!$A$4:$G$8,5,TRUE)*C515+VLOOKUP(B515,'CPF Table'!$A$4:$G$8,5,TRUE)*CPF!D515,VLOOKUP(B515,'CPF Table'!$A$4:$G$8,5,TRUE)*CPF!C515+VLOOKUP(B515,'CPF Table'!$A$4:$G$8,5,TRUE)*CPF!D515)</f>
        <v>0</v>
      </c>
      <c r="G515" s="18">
        <f>VLOOKUP(B515,'CPF Table'!$A$13:$E$23,3,TRUE)*F515</f>
        <v>0</v>
      </c>
      <c r="H515" s="18">
        <f>VLOOKUP(B515,'CPF Table'!$A$13:$E$23,4,TRUE)*CPF!F515</f>
        <v>0</v>
      </c>
      <c r="I515" s="18">
        <f>VLOOKUP(B515,'CPF Table'!$A$13:$E$23,5,TRUE)*CPF!F515</f>
        <v>0</v>
      </c>
      <c r="J515" s="103">
        <f t="shared" si="14"/>
        <v>0</v>
      </c>
    </row>
    <row r="516" spans="3:10">
      <c r="C516" s="126">
        <v>0</v>
      </c>
      <c r="D516" s="127">
        <v>0</v>
      </c>
      <c r="E516" s="82">
        <f t="shared" si="15"/>
        <v>0</v>
      </c>
      <c r="F516" s="18">
        <f>IF(VLOOKUP(B516,'CPF Table'!$A$4:$G$8,5,TRUE)*CPF!C516&gt;=VLOOKUP(B516,'CPF Table'!$A$4:$G$8,6,TRUE),VLOOKUP(B516,'CPF Table'!$A$4:$G$8,5,TRUE)*C516+VLOOKUP(B516,'CPF Table'!$A$4:$G$8,5,TRUE)*CPF!D516,VLOOKUP(B516,'CPF Table'!$A$4:$G$8,5,TRUE)*CPF!C516+VLOOKUP(B516,'CPF Table'!$A$4:$G$8,5,TRUE)*CPF!D516)</f>
        <v>0</v>
      </c>
      <c r="G516" s="18">
        <f>VLOOKUP(B516,'CPF Table'!$A$13:$E$23,3,TRUE)*F516</f>
        <v>0</v>
      </c>
      <c r="H516" s="18">
        <f>VLOOKUP(B516,'CPF Table'!$A$13:$E$23,4,TRUE)*CPF!F516</f>
        <v>0</v>
      </c>
      <c r="I516" s="18">
        <f>VLOOKUP(B516,'CPF Table'!$A$13:$E$23,5,TRUE)*CPF!F516</f>
        <v>0</v>
      </c>
      <c r="J516" s="103">
        <f t="shared" si="14"/>
        <v>0</v>
      </c>
    </row>
    <row r="517" spans="3:10">
      <c r="C517" s="126">
        <v>0</v>
      </c>
      <c r="D517" s="127">
        <v>0</v>
      </c>
      <c r="E517" s="82">
        <f t="shared" si="15"/>
        <v>0</v>
      </c>
      <c r="F517" s="18">
        <f>IF(VLOOKUP(B517,'CPF Table'!$A$4:$G$8,5,TRUE)*CPF!C517&gt;=VLOOKUP(B517,'CPF Table'!$A$4:$G$8,6,TRUE),VLOOKUP(B517,'CPF Table'!$A$4:$G$8,5,TRUE)*C517+VLOOKUP(B517,'CPF Table'!$A$4:$G$8,5,TRUE)*CPF!D517,VLOOKUP(B517,'CPF Table'!$A$4:$G$8,5,TRUE)*CPF!C517+VLOOKUP(B517,'CPF Table'!$A$4:$G$8,5,TRUE)*CPF!D517)</f>
        <v>0</v>
      </c>
      <c r="G517" s="18">
        <f>VLOOKUP(B517,'CPF Table'!$A$13:$E$23,3,TRUE)*F517</f>
        <v>0</v>
      </c>
      <c r="H517" s="18">
        <f>VLOOKUP(B517,'CPF Table'!$A$13:$E$23,4,TRUE)*CPF!F517</f>
        <v>0</v>
      </c>
      <c r="I517" s="18">
        <f>VLOOKUP(B517,'CPF Table'!$A$13:$E$23,5,TRUE)*CPF!F517</f>
        <v>0</v>
      </c>
      <c r="J517" s="103">
        <f t="shared" si="14"/>
        <v>0</v>
      </c>
    </row>
    <row r="518" spans="3:10">
      <c r="C518" s="126">
        <v>0</v>
      </c>
      <c r="D518" s="127">
        <v>0</v>
      </c>
      <c r="E518" s="82">
        <f t="shared" si="15"/>
        <v>0</v>
      </c>
      <c r="F518" s="18">
        <f>IF(VLOOKUP(B518,'CPF Table'!$A$4:$G$8,5,TRUE)*CPF!C518&gt;=VLOOKUP(B518,'CPF Table'!$A$4:$G$8,6,TRUE),VLOOKUP(B518,'CPF Table'!$A$4:$G$8,5,TRUE)*C518+VLOOKUP(B518,'CPF Table'!$A$4:$G$8,5,TRUE)*CPF!D518,VLOOKUP(B518,'CPF Table'!$A$4:$G$8,5,TRUE)*CPF!C518+VLOOKUP(B518,'CPF Table'!$A$4:$G$8,5,TRUE)*CPF!D518)</f>
        <v>0</v>
      </c>
      <c r="G518" s="18">
        <f>VLOOKUP(B518,'CPF Table'!$A$13:$E$23,3,TRUE)*F518</f>
        <v>0</v>
      </c>
      <c r="H518" s="18">
        <f>VLOOKUP(B518,'CPF Table'!$A$13:$E$23,4,TRUE)*CPF!F518</f>
        <v>0</v>
      </c>
      <c r="I518" s="18">
        <f>VLOOKUP(B518,'CPF Table'!$A$13:$E$23,5,TRUE)*CPF!F518</f>
        <v>0</v>
      </c>
      <c r="J518" s="103">
        <f t="shared" si="14"/>
        <v>0</v>
      </c>
    </row>
    <row r="519" spans="3:10">
      <c r="C519" s="126">
        <v>0</v>
      </c>
      <c r="D519" s="127">
        <v>0</v>
      </c>
      <c r="E519" s="82">
        <f t="shared" si="15"/>
        <v>0</v>
      </c>
      <c r="F519" s="18">
        <f>IF(VLOOKUP(B519,'CPF Table'!$A$4:$G$8,5,TRUE)*CPF!C519&gt;=VLOOKUP(B519,'CPF Table'!$A$4:$G$8,6,TRUE),VLOOKUP(B519,'CPF Table'!$A$4:$G$8,5,TRUE)*C519+VLOOKUP(B519,'CPF Table'!$A$4:$G$8,5,TRUE)*CPF!D519,VLOOKUP(B519,'CPF Table'!$A$4:$G$8,5,TRUE)*CPF!C519+VLOOKUP(B519,'CPF Table'!$A$4:$G$8,5,TRUE)*CPF!D519)</f>
        <v>0</v>
      </c>
      <c r="G519" s="18">
        <f>VLOOKUP(B519,'CPF Table'!$A$13:$E$23,3,TRUE)*F519</f>
        <v>0</v>
      </c>
      <c r="H519" s="18">
        <f>VLOOKUP(B519,'CPF Table'!$A$13:$E$23,4,TRUE)*CPF!F519</f>
        <v>0</v>
      </c>
      <c r="I519" s="18">
        <f>VLOOKUP(B519,'CPF Table'!$A$13:$E$23,5,TRUE)*CPF!F519</f>
        <v>0</v>
      </c>
      <c r="J519" s="103">
        <f t="shared" si="14"/>
        <v>0</v>
      </c>
    </row>
    <row r="520" spans="3:10">
      <c r="C520" s="126">
        <v>0</v>
      </c>
      <c r="D520" s="127">
        <v>0</v>
      </c>
      <c r="E520" s="82">
        <f t="shared" si="15"/>
        <v>0</v>
      </c>
      <c r="F520" s="18">
        <f>IF(VLOOKUP(B520,'CPF Table'!$A$4:$G$8,5,TRUE)*CPF!C520&gt;=VLOOKUP(B520,'CPF Table'!$A$4:$G$8,6,TRUE),VLOOKUP(B520,'CPF Table'!$A$4:$G$8,5,TRUE)*C520+VLOOKUP(B520,'CPF Table'!$A$4:$G$8,5,TRUE)*CPF!D520,VLOOKUP(B520,'CPF Table'!$A$4:$G$8,5,TRUE)*CPF!C520+VLOOKUP(B520,'CPF Table'!$A$4:$G$8,5,TRUE)*CPF!D520)</f>
        <v>0</v>
      </c>
      <c r="G520" s="18">
        <f>VLOOKUP(B520,'CPF Table'!$A$13:$E$23,3,TRUE)*F520</f>
        <v>0</v>
      </c>
      <c r="H520" s="18">
        <f>VLOOKUP(B520,'CPF Table'!$A$13:$E$23,4,TRUE)*CPF!F520</f>
        <v>0</v>
      </c>
      <c r="I520" s="18">
        <f>VLOOKUP(B520,'CPF Table'!$A$13:$E$23,5,TRUE)*CPF!F520</f>
        <v>0</v>
      </c>
      <c r="J520" s="103">
        <f t="shared" si="14"/>
        <v>0</v>
      </c>
    </row>
    <row r="521" spans="3:10">
      <c r="C521" s="126">
        <v>0</v>
      </c>
      <c r="D521" s="127">
        <v>0</v>
      </c>
      <c r="E521" s="82">
        <f t="shared" si="15"/>
        <v>0</v>
      </c>
      <c r="F521" s="18">
        <f>IF(VLOOKUP(B521,'CPF Table'!$A$4:$G$8,5,TRUE)*CPF!C521&gt;=VLOOKUP(B521,'CPF Table'!$A$4:$G$8,6,TRUE),VLOOKUP(B521,'CPF Table'!$A$4:$G$8,5,TRUE)*C521+VLOOKUP(B521,'CPF Table'!$A$4:$G$8,5,TRUE)*CPF!D521,VLOOKUP(B521,'CPF Table'!$A$4:$G$8,5,TRUE)*CPF!C521+VLOOKUP(B521,'CPF Table'!$A$4:$G$8,5,TRUE)*CPF!D521)</f>
        <v>0</v>
      </c>
      <c r="G521" s="18">
        <f>VLOOKUP(B521,'CPF Table'!$A$13:$E$23,3,TRUE)*F521</f>
        <v>0</v>
      </c>
      <c r="H521" s="18">
        <f>VLOOKUP(B521,'CPF Table'!$A$13:$E$23,4,TRUE)*CPF!F521</f>
        <v>0</v>
      </c>
      <c r="I521" s="18">
        <f>VLOOKUP(B521,'CPF Table'!$A$13:$E$23,5,TRUE)*CPF!F521</f>
        <v>0</v>
      </c>
      <c r="J521" s="103">
        <f t="shared" si="14"/>
        <v>0</v>
      </c>
    </row>
    <row r="522" spans="3:10">
      <c r="C522" s="126">
        <v>0</v>
      </c>
      <c r="D522" s="127">
        <v>0</v>
      </c>
      <c r="E522" s="82">
        <f t="shared" si="15"/>
        <v>0</v>
      </c>
      <c r="F522" s="18">
        <f>IF(VLOOKUP(B522,'CPF Table'!$A$4:$G$8,5,TRUE)*CPF!C522&gt;=VLOOKUP(B522,'CPF Table'!$A$4:$G$8,6,TRUE),VLOOKUP(B522,'CPF Table'!$A$4:$G$8,5,TRUE)*C522+VLOOKUP(B522,'CPF Table'!$A$4:$G$8,5,TRUE)*CPF!D522,VLOOKUP(B522,'CPF Table'!$A$4:$G$8,5,TRUE)*CPF!C522+VLOOKUP(B522,'CPF Table'!$A$4:$G$8,5,TRUE)*CPF!D522)</f>
        <v>0</v>
      </c>
      <c r="G522" s="18">
        <f>VLOOKUP(B522,'CPF Table'!$A$13:$E$23,3,TRUE)*F522</f>
        <v>0</v>
      </c>
      <c r="H522" s="18">
        <f>VLOOKUP(B522,'CPF Table'!$A$13:$E$23,4,TRUE)*CPF!F522</f>
        <v>0</v>
      </c>
      <c r="I522" s="18">
        <f>VLOOKUP(B522,'CPF Table'!$A$13:$E$23,5,TRUE)*CPF!F522</f>
        <v>0</v>
      </c>
      <c r="J522" s="103">
        <f t="shared" si="14"/>
        <v>0</v>
      </c>
    </row>
    <row r="523" spans="3:10">
      <c r="C523" s="126">
        <v>0</v>
      </c>
      <c r="D523" s="127">
        <v>0</v>
      </c>
      <c r="E523" s="82">
        <f t="shared" si="15"/>
        <v>0</v>
      </c>
      <c r="F523" s="18">
        <f>IF(VLOOKUP(B523,'CPF Table'!$A$4:$G$8,5,TRUE)*CPF!C523&gt;=VLOOKUP(B523,'CPF Table'!$A$4:$G$8,6,TRUE),VLOOKUP(B523,'CPF Table'!$A$4:$G$8,5,TRUE)*C523+VLOOKUP(B523,'CPF Table'!$A$4:$G$8,5,TRUE)*CPF!D523,VLOOKUP(B523,'CPF Table'!$A$4:$G$8,5,TRUE)*CPF!C523+VLOOKUP(B523,'CPF Table'!$A$4:$G$8,5,TRUE)*CPF!D523)</f>
        <v>0</v>
      </c>
      <c r="G523" s="18">
        <f>VLOOKUP(B523,'CPF Table'!$A$13:$E$23,3,TRUE)*F523</f>
        <v>0</v>
      </c>
      <c r="H523" s="18">
        <f>VLOOKUP(B523,'CPF Table'!$A$13:$E$23,4,TRUE)*CPF!F523</f>
        <v>0</v>
      </c>
      <c r="I523" s="18">
        <f>VLOOKUP(B523,'CPF Table'!$A$13:$E$23,5,TRUE)*CPF!F523</f>
        <v>0</v>
      </c>
      <c r="J523" s="103">
        <f t="shared" si="14"/>
        <v>0</v>
      </c>
    </row>
    <row r="524" spans="3:10">
      <c r="C524" s="126">
        <v>0</v>
      </c>
      <c r="D524" s="127">
        <v>0</v>
      </c>
      <c r="E524" s="82">
        <f t="shared" si="15"/>
        <v>0</v>
      </c>
      <c r="F524" s="18">
        <f>IF(VLOOKUP(B524,'CPF Table'!$A$4:$G$8,5,TRUE)*CPF!C524&gt;=VLOOKUP(B524,'CPF Table'!$A$4:$G$8,6,TRUE),VLOOKUP(B524,'CPF Table'!$A$4:$G$8,5,TRUE)*C524+VLOOKUP(B524,'CPF Table'!$A$4:$G$8,5,TRUE)*CPF!D524,VLOOKUP(B524,'CPF Table'!$A$4:$G$8,5,TRUE)*CPF!C524+VLOOKUP(B524,'CPF Table'!$A$4:$G$8,5,TRUE)*CPF!D524)</f>
        <v>0</v>
      </c>
      <c r="G524" s="18">
        <f>VLOOKUP(B524,'CPF Table'!$A$13:$E$23,3,TRUE)*F524</f>
        <v>0</v>
      </c>
      <c r="H524" s="18">
        <f>VLOOKUP(B524,'CPF Table'!$A$13:$E$23,4,TRUE)*CPF!F524</f>
        <v>0</v>
      </c>
      <c r="I524" s="18">
        <f>VLOOKUP(B524,'CPF Table'!$A$13:$E$23,5,TRUE)*CPF!F524</f>
        <v>0</v>
      </c>
      <c r="J524" s="103">
        <f t="shared" si="14"/>
        <v>0</v>
      </c>
    </row>
    <row r="525" spans="3:10">
      <c r="C525" s="126">
        <v>0</v>
      </c>
      <c r="D525" s="127">
        <v>0</v>
      </c>
      <c r="E525" s="82">
        <f t="shared" si="15"/>
        <v>0</v>
      </c>
      <c r="F525" s="18">
        <f>IF(VLOOKUP(B525,'CPF Table'!$A$4:$G$8,5,TRUE)*CPF!C525&gt;=VLOOKUP(B525,'CPF Table'!$A$4:$G$8,6,TRUE),VLOOKUP(B525,'CPF Table'!$A$4:$G$8,5,TRUE)*C525+VLOOKUP(B525,'CPF Table'!$A$4:$G$8,5,TRUE)*CPF!D525,VLOOKUP(B525,'CPF Table'!$A$4:$G$8,5,TRUE)*CPF!C525+VLOOKUP(B525,'CPF Table'!$A$4:$G$8,5,TRUE)*CPF!D525)</f>
        <v>0</v>
      </c>
      <c r="G525" s="18">
        <f>VLOOKUP(B525,'CPF Table'!$A$13:$E$23,3,TRUE)*F525</f>
        <v>0</v>
      </c>
      <c r="H525" s="18">
        <f>VLOOKUP(B525,'CPF Table'!$A$13:$E$23,4,TRUE)*CPF!F525</f>
        <v>0</v>
      </c>
      <c r="I525" s="18">
        <f>VLOOKUP(B525,'CPF Table'!$A$13:$E$23,5,TRUE)*CPF!F525</f>
        <v>0</v>
      </c>
      <c r="J525" s="103">
        <f t="shared" si="14"/>
        <v>0</v>
      </c>
    </row>
    <row r="526" spans="3:10">
      <c r="C526" s="126">
        <v>0</v>
      </c>
      <c r="D526" s="127">
        <v>0</v>
      </c>
      <c r="E526" s="82">
        <f t="shared" si="15"/>
        <v>0</v>
      </c>
      <c r="F526" s="18">
        <f>IF(VLOOKUP(B526,'CPF Table'!$A$4:$G$8,5,TRUE)*CPF!C526&gt;=VLOOKUP(B526,'CPF Table'!$A$4:$G$8,6,TRUE),VLOOKUP(B526,'CPF Table'!$A$4:$G$8,5,TRUE)*C526+VLOOKUP(B526,'CPF Table'!$A$4:$G$8,5,TRUE)*CPF!D526,VLOOKUP(B526,'CPF Table'!$A$4:$G$8,5,TRUE)*CPF!C526+VLOOKUP(B526,'CPF Table'!$A$4:$G$8,5,TRUE)*CPF!D526)</f>
        <v>0</v>
      </c>
      <c r="G526" s="18">
        <f>VLOOKUP(B526,'CPF Table'!$A$13:$E$23,3,TRUE)*F526</f>
        <v>0</v>
      </c>
      <c r="H526" s="18">
        <f>VLOOKUP(B526,'CPF Table'!$A$13:$E$23,4,TRUE)*CPF!F526</f>
        <v>0</v>
      </c>
      <c r="I526" s="18">
        <f>VLOOKUP(B526,'CPF Table'!$A$13:$E$23,5,TRUE)*CPF!F526</f>
        <v>0</v>
      </c>
      <c r="J526" s="103">
        <f t="shared" ref="J526:J589" si="16">E526-F526</f>
        <v>0</v>
      </c>
    </row>
    <row r="527" spans="3:10">
      <c r="C527" s="126">
        <v>0</v>
      </c>
      <c r="D527" s="127">
        <v>0</v>
      </c>
      <c r="E527" s="82">
        <f t="shared" ref="E527:E590" si="17">C527+D527</f>
        <v>0</v>
      </c>
      <c r="F527" s="18">
        <f>IF(VLOOKUP(B527,'CPF Table'!$A$4:$G$8,5,TRUE)*CPF!C527&gt;=VLOOKUP(B527,'CPF Table'!$A$4:$G$8,6,TRUE),VLOOKUP(B527,'CPF Table'!$A$4:$G$8,5,TRUE)*C527+VLOOKUP(B527,'CPF Table'!$A$4:$G$8,5,TRUE)*CPF!D527,VLOOKUP(B527,'CPF Table'!$A$4:$G$8,5,TRUE)*CPF!C527+VLOOKUP(B527,'CPF Table'!$A$4:$G$8,5,TRUE)*CPF!D527)</f>
        <v>0</v>
      </c>
      <c r="G527" s="18">
        <f>VLOOKUP(B527,'CPF Table'!$A$13:$E$23,3,TRUE)*F527</f>
        <v>0</v>
      </c>
      <c r="H527" s="18">
        <f>VLOOKUP(B527,'CPF Table'!$A$13:$E$23,4,TRUE)*CPF!F527</f>
        <v>0</v>
      </c>
      <c r="I527" s="18">
        <f>VLOOKUP(B527,'CPF Table'!$A$13:$E$23,5,TRUE)*CPF!F527</f>
        <v>0</v>
      </c>
      <c r="J527" s="103">
        <f t="shared" si="16"/>
        <v>0</v>
      </c>
    </row>
    <row r="528" spans="3:10">
      <c r="C528" s="126">
        <v>0</v>
      </c>
      <c r="D528" s="127">
        <v>0</v>
      </c>
      <c r="E528" s="82">
        <f t="shared" si="17"/>
        <v>0</v>
      </c>
      <c r="F528" s="18">
        <f>IF(VLOOKUP(B528,'CPF Table'!$A$4:$G$8,5,TRUE)*CPF!C528&gt;=VLOOKUP(B528,'CPF Table'!$A$4:$G$8,6,TRUE),VLOOKUP(B528,'CPF Table'!$A$4:$G$8,5,TRUE)*C528+VLOOKUP(B528,'CPF Table'!$A$4:$G$8,5,TRUE)*CPF!D528,VLOOKUP(B528,'CPF Table'!$A$4:$G$8,5,TRUE)*CPF!C528+VLOOKUP(B528,'CPF Table'!$A$4:$G$8,5,TRUE)*CPF!D528)</f>
        <v>0</v>
      </c>
      <c r="G528" s="18">
        <f>VLOOKUP(B528,'CPF Table'!$A$13:$E$23,3,TRUE)*F528</f>
        <v>0</v>
      </c>
      <c r="H528" s="18">
        <f>VLOOKUP(B528,'CPF Table'!$A$13:$E$23,4,TRUE)*CPF!F528</f>
        <v>0</v>
      </c>
      <c r="I528" s="18">
        <f>VLOOKUP(B528,'CPF Table'!$A$13:$E$23,5,TRUE)*CPF!F528</f>
        <v>0</v>
      </c>
      <c r="J528" s="103">
        <f t="shared" si="16"/>
        <v>0</v>
      </c>
    </row>
    <row r="529" spans="3:10">
      <c r="C529" s="126">
        <v>0</v>
      </c>
      <c r="D529" s="127">
        <v>0</v>
      </c>
      <c r="E529" s="82">
        <f t="shared" si="17"/>
        <v>0</v>
      </c>
      <c r="F529" s="18">
        <f>IF(VLOOKUP(B529,'CPF Table'!$A$4:$G$8,5,TRUE)*CPF!C529&gt;=VLOOKUP(B529,'CPF Table'!$A$4:$G$8,6,TRUE),VLOOKUP(B529,'CPF Table'!$A$4:$G$8,5,TRUE)*C529+VLOOKUP(B529,'CPF Table'!$A$4:$G$8,5,TRUE)*CPF!D529,VLOOKUP(B529,'CPF Table'!$A$4:$G$8,5,TRUE)*CPF!C529+VLOOKUP(B529,'CPF Table'!$A$4:$G$8,5,TRUE)*CPF!D529)</f>
        <v>0</v>
      </c>
      <c r="G529" s="18">
        <f>VLOOKUP(B529,'CPF Table'!$A$13:$E$23,3,TRUE)*F529</f>
        <v>0</v>
      </c>
      <c r="H529" s="18">
        <f>VLOOKUP(B529,'CPF Table'!$A$13:$E$23,4,TRUE)*CPF!F529</f>
        <v>0</v>
      </c>
      <c r="I529" s="18">
        <f>VLOOKUP(B529,'CPF Table'!$A$13:$E$23,5,TRUE)*CPF!F529</f>
        <v>0</v>
      </c>
      <c r="J529" s="103">
        <f t="shared" si="16"/>
        <v>0</v>
      </c>
    </row>
    <row r="530" spans="3:10">
      <c r="C530" s="126">
        <v>0</v>
      </c>
      <c r="D530" s="127">
        <v>0</v>
      </c>
      <c r="E530" s="82">
        <f t="shared" si="17"/>
        <v>0</v>
      </c>
      <c r="F530" s="18">
        <f>IF(VLOOKUP(B530,'CPF Table'!$A$4:$G$8,5,TRUE)*CPF!C530&gt;=VLOOKUP(B530,'CPF Table'!$A$4:$G$8,6,TRUE),VLOOKUP(B530,'CPF Table'!$A$4:$G$8,5,TRUE)*C530+VLOOKUP(B530,'CPF Table'!$A$4:$G$8,5,TRUE)*CPF!D530,VLOOKUP(B530,'CPF Table'!$A$4:$G$8,5,TRUE)*CPF!C530+VLOOKUP(B530,'CPF Table'!$A$4:$G$8,5,TRUE)*CPF!D530)</f>
        <v>0</v>
      </c>
      <c r="G530" s="18">
        <f>VLOOKUP(B530,'CPF Table'!$A$13:$E$23,3,TRUE)*F530</f>
        <v>0</v>
      </c>
      <c r="H530" s="18">
        <f>VLOOKUP(B530,'CPF Table'!$A$13:$E$23,4,TRUE)*CPF!F530</f>
        <v>0</v>
      </c>
      <c r="I530" s="18">
        <f>VLOOKUP(B530,'CPF Table'!$A$13:$E$23,5,TRUE)*CPF!F530</f>
        <v>0</v>
      </c>
      <c r="J530" s="103">
        <f t="shared" si="16"/>
        <v>0</v>
      </c>
    </row>
    <row r="531" spans="3:10">
      <c r="C531" s="126">
        <v>0</v>
      </c>
      <c r="D531" s="127">
        <v>0</v>
      </c>
      <c r="E531" s="82">
        <f t="shared" si="17"/>
        <v>0</v>
      </c>
      <c r="F531" s="18">
        <f>IF(VLOOKUP(B531,'CPF Table'!$A$4:$G$8,5,TRUE)*CPF!C531&gt;=VLOOKUP(B531,'CPF Table'!$A$4:$G$8,6,TRUE),VLOOKUP(B531,'CPF Table'!$A$4:$G$8,5,TRUE)*C531+VLOOKUP(B531,'CPF Table'!$A$4:$G$8,5,TRUE)*CPF!D531,VLOOKUP(B531,'CPF Table'!$A$4:$G$8,5,TRUE)*CPF!C531+VLOOKUP(B531,'CPF Table'!$A$4:$G$8,5,TRUE)*CPF!D531)</f>
        <v>0</v>
      </c>
      <c r="G531" s="18">
        <f>VLOOKUP(B531,'CPF Table'!$A$13:$E$23,3,TRUE)*F531</f>
        <v>0</v>
      </c>
      <c r="H531" s="18">
        <f>VLOOKUP(B531,'CPF Table'!$A$13:$E$23,4,TRUE)*CPF!F531</f>
        <v>0</v>
      </c>
      <c r="I531" s="18">
        <f>VLOOKUP(B531,'CPF Table'!$A$13:$E$23,5,TRUE)*CPF!F531</f>
        <v>0</v>
      </c>
      <c r="J531" s="103">
        <f t="shared" si="16"/>
        <v>0</v>
      </c>
    </row>
    <row r="532" spans="3:10">
      <c r="C532" s="126">
        <v>0</v>
      </c>
      <c r="D532" s="127">
        <v>0</v>
      </c>
      <c r="E532" s="82">
        <f t="shared" si="17"/>
        <v>0</v>
      </c>
      <c r="F532" s="18">
        <f>IF(VLOOKUP(B532,'CPF Table'!$A$4:$G$8,5,TRUE)*CPF!C532&gt;=VLOOKUP(B532,'CPF Table'!$A$4:$G$8,6,TRUE),VLOOKUP(B532,'CPF Table'!$A$4:$G$8,5,TRUE)*C532+VLOOKUP(B532,'CPF Table'!$A$4:$G$8,5,TRUE)*CPF!D532,VLOOKUP(B532,'CPF Table'!$A$4:$G$8,5,TRUE)*CPF!C532+VLOOKUP(B532,'CPF Table'!$A$4:$G$8,5,TRUE)*CPF!D532)</f>
        <v>0</v>
      </c>
      <c r="G532" s="18">
        <f>VLOOKUP(B532,'CPF Table'!$A$13:$E$23,3,TRUE)*F532</f>
        <v>0</v>
      </c>
      <c r="H532" s="18">
        <f>VLOOKUP(B532,'CPF Table'!$A$13:$E$23,4,TRUE)*CPF!F532</f>
        <v>0</v>
      </c>
      <c r="I532" s="18">
        <f>VLOOKUP(B532,'CPF Table'!$A$13:$E$23,5,TRUE)*CPF!F532</f>
        <v>0</v>
      </c>
      <c r="J532" s="103">
        <f t="shared" si="16"/>
        <v>0</v>
      </c>
    </row>
    <row r="533" spans="3:10">
      <c r="C533" s="126">
        <v>0</v>
      </c>
      <c r="D533" s="127">
        <v>0</v>
      </c>
      <c r="E533" s="82">
        <f t="shared" si="17"/>
        <v>0</v>
      </c>
      <c r="F533" s="18">
        <f>IF(VLOOKUP(B533,'CPF Table'!$A$4:$G$8,5,TRUE)*CPF!C533&gt;=VLOOKUP(B533,'CPF Table'!$A$4:$G$8,6,TRUE),VLOOKUP(B533,'CPF Table'!$A$4:$G$8,5,TRUE)*C533+VLOOKUP(B533,'CPF Table'!$A$4:$G$8,5,TRUE)*CPF!D533,VLOOKUP(B533,'CPF Table'!$A$4:$G$8,5,TRUE)*CPF!C533+VLOOKUP(B533,'CPF Table'!$A$4:$G$8,5,TRUE)*CPF!D533)</f>
        <v>0</v>
      </c>
      <c r="G533" s="18">
        <f>VLOOKUP(B533,'CPF Table'!$A$13:$E$23,3,TRUE)*F533</f>
        <v>0</v>
      </c>
      <c r="H533" s="18">
        <f>VLOOKUP(B533,'CPF Table'!$A$13:$E$23,4,TRUE)*CPF!F533</f>
        <v>0</v>
      </c>
      <c r="I533" s="18">
        <f>VLOOKUP(B533,'CPF Table'!$A$13:$E$23,5,TRUE)*CPF!F533</f>
        <v>0</v>
      </c>
      <c r="J533" s="103">
        <f t="shared" si="16"/>
        <v>0</v>
      </c>
    </row>
    <row r="534" spans="3:10">
      <c r="C534" s="126">
        <v>0</v>
      </c>
      <c r="D534" s="127">
        <v>0</v>
      </c>
      <c r="E534" s="82">
        <f t="shared" si="17"/>
        <v>0</v>
      </c>
      <c r="F534" s="18">
        <f>IF(VLOOKUP(B534,'CPF Table'!$A$4:$G$8,5,TRUE)*CPF!C534&gt;=VLOOKUP(B534,'CPF Table'!$A$4:$G$8,6,TRUE),VLOOKUP(B534,'CPF Table'!$A$4:$G$8,5,TRUE)*C534+VLOOKUP(B534,'CPF Table'!$A$4:$G$8,5,TRUE)*CPF!D534,VLOOKUP(B534,'CPF Table'!$A$4:$G$8,5,TRUE)*CPF!C534+VLOOKUP(B534,'CPF Table'!$A$4:$G$8,5,TRUE)*CPF!D534)</f>
        <v>0</v>
      </c>
      <c r="G534" s="18">
        <f>VLOOKUP(B534,'CPF Table'!$A$13:$E$23,3,TRUE)*F534</f>
        <v>0</v>
      </c>
      <c r="H534" s="18">
        <f>VLOOKUP(B534,'CPF Table'!$A$13:$E$23,4,TRUE)*CPF!F534</f>
        <v>0</v>
      </c>
      <c r="I534" s="18">
        <f>VLOOKUP(B534,'CPF Table'!$A$13:$E$23,5,TRUE)*CPF!F534</f>
        <v>0</v>
      </c>
      <c r="J534" s="103">
        <f t="shared" si="16"/>
        <v>0</v>
      </c>
    </row>
    <row r="535" spans="3:10">
      <c r="C535" s="126">
        <v>0</v>
      </c>
      <c r="D535" s="127">
        <v>0</v>
      </c>
      <c r="E535" s="82">
        <f t="shared" si="17"/>
        <v>0</v>
      </c>
      <c r="F535" s="18">
        <f>IF(VLOOKUP(B535,'CPF Table'!$A$4:$G$8,5,TRUE)*CPF!C535&gt;=VLOOKUP(B535,'CPF Table'!$A$4:$G$8,6,TRUE),VLOOKUP(B535,'CPF Table'!$A$4:$G$8,5,TRUE)*C535+VLOOKUP(B535,'CPF Table'!$A$4:$G$8,5,TRUE)*CPF!D535,VLOOKUP(B535,'CPF Table'!$A$4:$G$8,5,TRUE)*CPF!C535+VLOOKUP(B535,'CPF Table'!$A$4:$G$8,5,TRUE)*CPF!D535)</f>
        <v>0</v>
      </c>
      <c r="G535" s="18">
        <f>VLOOKUP(B535,'CPF Table'!$A$13:$E$23,3,TRUE)*F535</f>
        <v>0</v>
      </c>
      <c r="H535" s="18">
        <f>VLOOKUP(B535,'CPF Table'!$A$13:$E$23,4,TRUE)*CPF!F535</f>
        <v>0</v>
      </c>
      <c r="I535" s="18">
        <f>VLOOKUP(B535,'CPF Table'!$A$13:$E$23,5,TRUE)*CPF!F535</f>
        <v>0</v>
      </c>
      <c r="J535" s="103">
        <f t="shared" si="16"/>
        <v>0</v>
      </c>
    </row>
    <row r="536" spans="3:10">
      <c r="C536" s="126">
        <v>0</v>
      </c>
      <c r="D536" s="127">
        <v>0</v>
      </c>
      <c r="E536" s="82">
        <f t="shared" si="17"/>
        <v>0</v>
      </c>
      <c r="F536" s="18">
        <f>IF(VLOOKUP(B536,'CPF Table'!$A$4:$G$8,5,TRUE)*CPF!C536&gt;=VLOOKUP(B536,'CPF Table'!$A$4:$G$8,6,TRUE),VLOOKUP(B536,'CPF Table'!$A$4:$G$8,5,TRUE)*C536+VLOOKUP(B536,'CPF Table'!$A$4:$G$8,5,TRUE)*CPF!D536,VLOOKUP(B536,'CPF Table'!$A$4:$G$8,5,TRUE)*CPF!C536+VLOOKUP(B536,'CPF Table'!$A$4:$G$8,5,TRUE)*CPF!D536)</f>
        <v>0</v>
      </c>
      <c r="G536" s="18">
        <f>VLOOKUP(B536,'CPF Table'!$A$13:$E$23,3,TRUE)*F536</f>
        <v>0</v>
      </c>
      <c r="H536" s="18">
        <f>VLOOKUP(B536,'CPF Table'!$A$13:$E$23,4,TRUE)*CPF!F536</f>
        <v>0</v>
      </c>
      <c r="I536" s="18">
        <f>VLOOKUP(B536,'CPF Table'!$A$13:$E$23,5,TRUE)*CPF!F536</f>
        <v>0</v>
      </c>
      <c r="J536" s="103">
        <f t="shared" si="16"/>
        <v>0</v>
      </c>
    </row>
    <row r="537" spans="3:10">
      <c r="C537" s="126">
        <v>0</v>
      </c>
      <c r="D537" s="127">
        <v>0</v>
      </c>
      <c r="E537" s="82">
        <f t="shared" si="17"/>
        <v>0</v>
      </c>
      <c r="F537" s="18">
        <f>IF(VLOOKUP(B537,'CPF Table'!$A$4:$G$8,5,TRUE)*CPF!C537&gt;=VLOOKUP(B537,'CPF Table'!$A$4:$G$8,6,TRUE),VLOOKUP(B537,'CPF Table'!$A$4:$G$8,5,TRUE)*C537+VLOOKUP(B537,'CPF Table'!$A$4:$G$8,5,TRUE)*CPF!D537,VLOOKUP(B537,'CPF Table'!$A$4:$G$8,5,TRUE)*CPF!C537+VLOOKUP(B537,'CPF Table'!$A$4:$G$8,5,TRUE)*CPF!D537)</f>
        <v>0</v>
      </c>
      <c r="G537" s="18">
        <f>VLOOKUP(B537,'CPF Table'!$A$13:$E$23,3,TRUE)*F537</f>
        <v>0</v>
      </c>
      <c r="H537" s="18">
        <f>VLOOKUP(B537,'CPF Table'!$A$13:$E$23,4,TRUE)*CPF!F537</f>
        <v>0</v>
      </c>
      <c r="I537" s="18">
        <f>VLOOKUP(B537,'CPF Table'!$A$13:$E$23,5,TRUE)*CPF!F537</f>
        <v>0</v>
      </c>
      <c r="J537" s="103">
        <f t="shared" si="16"/>
        <v>0</v>
      </c>
    </row>
    <row r="538" spans="3:10">
      <c r="C538" s="126">
        <v>0</v>
      </c>
      <c r="D538" s="127">
        <v>0</v>
      </c>
      <c r="E538" s="82">
        <f t="shared" si="17"/>
        <v>0</v>
      </c>
      <c r="F538" s="18">
        <f>IF(VLOOKUP(B538,'CPF Table'!$A$4:$G$8,5,TRUE)*CPF!C538&gt;=VLOOKUP(B538,'CPF Table'!$A$4:$G$8,6,TRUE),VLOOKUP(B538,'CPF Table'!$A$4:$G$8,5,TRUE)*C538+VLOOKUP(B538,'CPF Table'!$A$4:$G$8,5,TRUE)*CPF!D538,VLOOKUP(B538,'CPF Table'!$A$4:$G$8,5,TRUE)*CPF!C538+VLOOKUP(B538,'CPF Table'!$A$4:$G$8,5,TRUE)*CPF!D538)</f>
        <v>0</v>
      </c>
      <c r="G538" s="18">
        <f>VLOOKUP(B538,'CPF Table'!$A$13:$E$23,3,TRUE)*F538</f>
        <v>0</v>
      </c>
      <c r="H538" s="18">
        <f>VLOOKUP(B538,'CPF Table'!$A$13:$E$23,4,TRUE)*CPF!F538</f>
        <v>0</v>
      </c>
      <c r="I538" s="18">
        <f>VLOOKUP(B538,'CPF Table'!$A$13:$E$23,5,TRUE)*CPF!F538</f>
        <v>0</v>
      </c>
      <c r="J538" s="103">
        <f t="shared" si="16"/>
        <v>0</v>
      </c>
    </row>
    <row r="539" spans="3:10">
      <c r="C539" s="126">
        <v>0</v>
      </c>
      <c r="D539" s="127">
        <v>0</v>
      </c>
      <c r="E539" s="82">
        <f t="shared" si="17"/>
        <v>0</v>
      </c>
      <c r="F539" s="18">
        <f>IF(VLOOKUP(B539,'CPF Table'!$A$4:$G$8,5,TRUE)*CPF!C539&gt;=VLOOKUP(B539,'CPF Table'!$A$4:$G$8,6,TRUE),VLOOKUP(B539,'CPF Table'!$A$4:$G$8,5,TRUE)*C539+VLOOKUP(B539,'CPF Table'!$A$4:$G$8,5,TRUE)*CPF!D539,VLOOKUP(B539,'CPF Table'!$A$4:$G$8,5,TRUE)*CPF!C539+VLOOKUP(B539,'CPF Table'!$A$4:$G$8,5,TRUE)*CPF!D539)</f>
        <v>0</v>
      </c>
      <c r="G539" s="18">
        <f>VLOOKUP(B539,'CPF Table'!$A$13:$E$23,3,TRUE)*F539</f>
        <v>0</v>
      </c>
      <c r="H539" s="18">
        <f>VLOOKUP(B539,'CPF Table'!$A$13:$E$23,4,TRUE)*CPF!F539</f>
        <v>0</v>
      </c>
      <c r="I539" s="18">
        <f>VLOOKUP(B539,'CPF Table'!$A$13:$E$23,5,TRUE)*CPF!F539</f>
        <v>0</v>
      </c>
      <c r="J539" s="103">
        <f t="shared" si="16"/>
        <v>0</v>
      </c>
    </row>
    <row r="540" spans="3:10">
      <c r="C540" s="126">
        <v>0</v>
      </c>
      <c r="D540" s="127">
        <v>0</v>
      </c>
      <c r="E540" s="82">
        <f t="shared" si="17"/>
        <v>0</v>
      </c>
      <c r="F540" s="18">
        <f>IF(VLOOKUP(B540,'CPF Table'!$A$4:$G$8,5,TRUE)*CPF!C540&gt;=VLOOKUP(B540,'CPF Table'!$A$4:$G$8,6,TRUE),VLOOKUP(B540,'CPF Table'!$A$4:$G$8,5,TRUE)*C540+VLOOKUP(B540,'CPF Table'!$A$4:$G$8,5,TRUE)*CPF!D540,VLOOKUP(B540,'CPF Table'!$A$4:$G$8,5,TRUE)*CPF!C540+VLOOKUP(B540,'CPF Table'!$A$4:$G$8,5,TRUE)*CPF!D540)</f>
        <v>0</v>
      </c>
      <c r="G540" s="18">
        <f>VLOOKUP(B540,'CPF Table'!$A$13:$E$23,3,TRUE)*F540</f>
        <v>0</v>
      </c>
      <c r="H540" s="18">
        <f>VLOOKUP(B540,'CPF Table'!$A$13:$E$23,4,TRUE)*CPF!F540</f>
        <v>0</v>
      </c>
      <c r="I540" s="18">
        <f>VLOOKUP(B540,'CPF Table'!$A$13:$E$23,5,TRUE)*CPF!F540</f>
        <v>0</v>
      </c>
      <c r="J540" s="103">
        <f t="shared" si="16"/>
        <v>0</v>
      </c>
    </row>
    <row r="541" spans="3:10">
      <c r="C541" s="126">
        <v>0</v>
      </c>
      <c r="D541" s="127">
        <v>0</v>
      </c>
      <c r="E541" s="82">
        <f t="shared" si="17"/>
        <v>0</v>
      </c>
      <c r="F541" s="18">
        <f>IF(VLOOKUP(B541,'CPF Table'!$A$4:$G$8,5,TRUE)*CPF!C541&gt;=VLOOKUP(B541,'CPF Table'!$A$4:$G$8,6,TRUE),VLOOKUP(B541,'CPF Table'!$A$4:$G$8,5,TRUE)*C541+VLOOKUP(B541,'CPF Table'!$A$4:$G$8,5,TRUE)*CPF!D541,VLOOKUP(B541,'CPF Table'!$A$4:$G$8,5,TRUE)*CPF!C541+VLOOKUP(B541,'CPF Table'!$A$4:$G$8,5,TRUE)*CPF!D541)</f>
        <v>0</v>
      </c>
      <c r="G541" s="18">
        <f>VLOOKUP(B541,'CPF Table'!$A$13:$E$23,3,TRUE)*F541</f>
        <v>0</v>
      </c>
      <c r="H541" s="18">
        <f>VLOOKUP(B541,'CPF Table'!$A$13:$E$23,4,TRUE)*CPF!F541</f>
        <v>0</v>
      </c>
      <c r="I541" s="18">
        <f>VLOOKUP(B541,'CPF Table'!$A$13:$E$23,5,TRUE)*CPF!F541</f>
        <v>0</v>
      </c>
      <c r="J541" s="103">
        <f t="shared" si="16"/>
        <v>0</v>
      </c>
    </row>
    <row r="542" spans="3:10">
      <c r="C542" s="126">
        <v>0</v>
      </c>
      <c r="D542" s="127">
        <v>0</v>
      </c>
      <c r="E542" s="82">
        <f t="shared" si="17"/>
        <v>0</v>
      </c>
      <c r="F542" s="18">
        <f>IF(VLOOKUP(B542,'CPF Table'!$A$4:$G$8,5,TRUE)*CPF!C542&gt;=VLOOKUP(B542,'CPF Table'!$A$4:$G$8,6,TRUE),VLOOKUP(B542,'CPF Table'!$A$4:$G$8,5,TRUE)*C542+VLOOKUP(B542,'CPF Table'!$A$4:$G$8,5,TRUE)*CPF!D542,VLOOKUP(B542,'CPF Table'!$A$4:$G$8,5,TRUE)*CPF!C542+VLOOKUP(B542,'CPF Table'!$A$4:$G$8,5,TRUE)*CPF!D542)</f>
        <v>0</v>
      </c>
      <c r="G542" s="18">
        <f>VLOOKUP(B542,'CPF Table'!$A$13:$E$23,3,TRUE)*F542</f>
        <v>0</v>
      </c>
      <c r="H542" s="18">
        <f>VLOOKUP(B542,'CPF Table'!$A$13:$E$23,4,TRUE)*CPF!F542</f>
        <v>0</v>
      </c>
      <c r="I542" s="18">
        <f>VLOOKUP(B542,'CPF Table'!$A$13:$E$23,5,TRUE)*CPF!F542</f>
        <v>0</v>
      </c>
      <c r="J542" s="103">
        <f t="shared" si="16"/>
        <v>0</v>
      </c>
    </row>
    <row r="543" spans="3:10">
      <c r="C543" s="126">
        <v>0</v>
      </c>
      <c r="D543" s="127">
        <v>0</v>
      </c>
      <c r="E543" s="82">
        <f t="shared" si="17"/>
        <v>0</v>
      </c>
      <c r="F543" s="18">
        <f>IF(VLOOKUP(B543,'CPF Table'!$A$4:$G$8,5,TRUE)*CPF!C543&gt;=VLOOKUP(B543,'CPF Table'!$A$4:$G$8,6,TRUE),VLOOKUP(B543,'CPF Table'!$A$4:$G$8,5,TRUE)*C543+VLOOKUP(B543,'CPF Table'!$A$4:$G$8,5,TRUE)*CPF!D543,VLOOKUP(B543,'CPF Table'!$A$4:$G$8,5,TRUE)*CPF!C543+VLOOKUP(B543,'CPF Table'!$A$4:$G$8,5,TRUE)*CPF!D543)</f>
        <v>0</v>
      </c>
      <c r="G543" s="18">
        <f>VLOOKUP(B543,'CPF Table'!$A$13:$E$23,3,TRUE)*F543</f>
        <v>0</v>
      </c>
      <c r="H543" s="18">
        <f>VLOOKUP(B543,'CPF Table'!$A$13:$E$23,4,TRUE)*CPF!F543</f>
        <v>0</v>
      </c>
      <c r="I543" s="18">
        <f>VLOOKUP(B543,'CPF Table'!$A$13:$E$23,5,TRUE)*CPF!F543</f>
        <v>0</v>
      </c>
      <c r="J543" s="103">
        <f t="shared" si="16"/>
        <v>0</v>
      </c>
    </row>
    <row r="544" spans="3:10">
      <c r="C544" s="126">
        <v>0</v>
      </c>
      <c r="D544" s="127">
        <v>0</v>
      </c>
      <c r="E544" s="82">
        <f t="shared" si="17"/>
        <v>0</v>
      </c>
      <c r="F544" s="18">
        <f>IF(VLOOKUP(B544,'CPF Table'!$A$4:$G$8,5,TRUE)*CPF!C544&gt;=VLOOKUP(B544,'CPF Table'!$A$4:$G$8,6,TRUE),VLOOKUP(B544,'CPF Table'!$A$4:$G$8,5,TRUE)*C544+VLOOKUP(B544,'CPF Table'!$A$4:$G$8,5,TRUE)*CPF!D544,VLOOKUP(B544,'CPF Table'!$A$4:$G$8,5,TRUE)*CPF!C544+VLOOKUP(B544,'CPF Table'!$A$4:$G$8,5,TRUE)*CPF!D544)</f>
        <v>0</v>
      </c>
      <c r="G544" s="18">
        <f>VLOOKUP(B544,'CPF Table'!$A$13:$E$23,3,TRUE)*F544</f>
        <v>0</v>
      </c>
      <c r="H544" s="18">
        <f>VLOOKUP(B544,'CPF Table'!$A$13:$E$23,4,TRUE)*CPF!F544</f>
        <v>0</v>
      </c>
      <c r="I544" s="18">
        <f>VLOOKUP(B544,'CPF Table'!$A$13:$E$23,5,TRUE)*CPF!F544</f>
        <v>0</v>
      </c>
      <c r="J544" s="103">
        <f t="shared" si="16"/>
        <v>0</v>
      </c>
    </row>
    <row r="545" spans="3:10">
      <c r="C545" s="126">
        <v>0</v>
      </c>
      <c r="D545" s="127">
        <v>0</v>
      </c>
      <c r="E545" s="82">
        <f t="shared" si="17"/>
        <v>0</v>
      </c>
      <c r="F545" s="18">
        <f>IF(VLOOKUP(B545,'CPF Table'!$A$4:$G$8,5,TRUE)*CPF!C545&gt;=VLOOKUP(B545,'CPF Table'!$A$4:$G$8,6,TRUE),VLOOKUP(B545,'CPF Table'!$A$4:$G$8,5,TRUE)*C545+VLOOKUP(B545,'CPF Table'!$A$4:$G$8,5,TRUE)*CPF!D545,VLOOKUP(B545,'CPF Table'!$A$4:$G$8,5,TRUE)*CPF!C545+VLOOKUP(B545,'CPF Table'!$A$4:$G$8,5,TRUE)*CPF!D545)</f>
        <v>0</v>
      </c>
      <c r="G545" s="18">
        <f>VLOOKUP(B545,'CPF Table'!$A$13:$E$23,3,TRUE)*F545</f>
        <v>0</v>
      </c>
      <c r="H545" s="18">
        <f>VLOOKUP(B545,'CPF Table'!$A$13:$E$23,4,TRUE)*CPF!F545</f>
        <v>0</v>
      </c>
      <c r="I545" s="18">
        <f>VLOOKUP(B545,'CPF Table'!$A$13:$E$23,5,TRUE)*CPF!F545</f>
        <v>0</v>
      </c>
      <c r="J545" s="103">
        <f t="shared" si="16"/>
        <v>0</v>
      </c>
    </row>
    <row r="546" spans="3:10">
      <c r="C546" s="126">
        <v>0</v>
      </c>
      <c r="D546" s="127">
        <v>0</v>
      </c>
      <c r="E546" s="82">
        <f t="shared" si="17"/>
        <v>0</v>
      </c>
      <c r="F546" s="18">
        <f>IF(VLOOKUP(B546,'CPF Table'!$A$4:$G$8,5,TRUE)*CPF!C546&gt;=VLOOKUP(B546,'CPF Table'!$A$4:$G$8,6,TRUE),VLOOKUP(B546,'CPF Table'!$A$4:$G$8,5,TRUE)*C546+VLOOKUP(B546,'CPF Table'!$A$4:$G$8,5,TRUE)*CPF!D546,VLOOKUP(B546,'CPF Table'!$A$4:$G$8,5,TRUE)*CPF!C546+VLOOKUP(B546,'CPF Table'!$A$4:$G$8,5,TRUE)*CPF!D546)</f>
        <v>0</v>
      </c>
      <c r="G546" s="18">
        <f>VLOOKUP(B546,'CPF Table'!$A$13:$E$23,3,TRUE)*F546</f>
        <v>0</v>
      </c>
      <c r="H546" s="18">
        <f>VLOOKUP(B546,'CPF Table'!$A$13:$E$23,4,TRUE)*CPF!F546</f>
        <v>0</v>
      </c>
      <c r="I546" s="18">
        <f>VLOOKUP(B546,'CPF Table'!$A$13:$E$23,5,TRUE)*CPF!F546</f>
        <v>0</v>
      </c>
      <c r="J546" s="103">
        <f t="shared" si="16"/>
        <v>0</v>
      </c>
    </row>
    <row r="547" spans="3:10">
      <c r="C547" s="126">
        <v>0</v>
      </c>
      <c r="D547" s="127">
        <v>0</v>
      </c>
      <c r="E547" s="82">
        <f t="shared" si="17"/>
        <v>0</v>
      </c>
      <c r="F547" s="18">
        <f>IF(VLOOKUP(B547,'CPF Table'!$A$4:$G$8,5,TRUE)*CPF!C547&gt;=VLOOKUP(B547,'CPF Table'!$A$4:$G$8,6,TRUE),VLOOKUP(B547,'CPF Table'!$A$4:$G$8,5,TRUE)*C547+VLOOKUP(B547,'CPF Table'!$A$4:$G$8,5,TRUE)*CPF!D547,VLOOKUP(B547,'CPF Table'!$A$4:$G$8,5,TRUE)*CPF!C547+VLOOKUP(B547,'CPF Table'!$A$4:$G$8,5,TRUE)*CPF!D547)</f>
        <v>0</v>
      </c>
      <c r="G547" s="18">
        <f>VLOOKUP(B547,'CPF Table'!$A$13:$E$23,3,TRUE)*F547</f>
        <v>0</v>
      </c>
      <c r="H547" s="18">
        <f>VLOOKUP(B547,'CPF Table'!$A$13:$E$23,4,TRUE)*CPF!F547</f>
        <v>0</v>
      </c>
      <c r="I547" s="18">
        <f>VLOOKUP(B547,'CPF Table'!$A$13:$E$23,5,TRUE)*CPF!F547</f>
        <v>0</v>
      </c>
      <c r="J547" s="103">
        <f t="shared" si="16"/>
        <v>0</v>
      </c>
    </row>
    <row r="548" spans="3:10">
      <c r="C548" s="126">
        <v>0</v>
      </c>
      <c r="D548" s="127">
        <v>0</v>
      </c>
      <c r="E548" s="82">
        <f t="shared" si="17"/>
        <v>0</v>
      </c>
      <c r="F548" s="18">
        <f>IF(VLOOKUP(B548,'CPF Table'!$A$4:$G$8,5,TRUE)*CPF!C548&gt;=VLOOKUP(B548,'CPF Table'!$A$4:$G$8,6,TRUE),VLOOKUP(B548,'CPF Table'!$A$4:$G$8,5,TRUE)*C548+VLOOKUP(B548,'CPF Table'!$A$4:$G$8,5,TRUE)*CPF!D548,VLOOKUP(B548,'CPF Table'!$A$4:$G$8,5,TRUE)*CPF!C548+VLOOKUP(B548,'CPF Table'!$A$4:$G$8,5,TRUE)*CPF!D548)</f>
        <v>0</v>
      </c>
      <c r="G548" s="18">
        <f>VLOOKUP(B548,'CPF Table'!$A$13:$E$23,3,TRUE)*F548</f>
        <v>0</v>
      </c>
      <c r="H548" s="18">
        <f>VLOOKUP(B548,'CPF Table'!$A$13:$E$23,4,TRUE)*CPF!F548</f>
        <v>0</v>
      </c>
      <c r="I548" s="18">
        <f>VLOOKUP(B548,'CPF Table'!$A$13:$E$23,5,TRUE)*CPF!F548</f>
        <v>0</v>
      </c>
      <c r="J548" s="103">
        <f t="shared" si="16"/>
        <v>0</v>
      </c>
    </row>
    <row r="549" spans="3:10">
      <c r="C549" s="126">
        <v>0</v>
      </c>
      <c r="D549" s="127">
        <v>0</v>
      </c>
      <c r="E549" s="82">
        <f t="shared" si="17"/>
        <v>0</v>
      </c>
      <c r="F549" s="18">
        <f>IF(VLOOKUP(B549,'CPF Table'!$A$4:$G$8,5,TRUE)*CPF!C549&gt;=VLOOKUP(B549,'CPF Table'!$A$4:$G$8,6,TRUE),VLOOKUP(B549,'CPF Table'!$A$4:$G$8,5,TRUE)*C549+VLOOKUP(B549,'CPF Table'!$A$4:$G$8,5,TRUE)*CPF!D549,VLOOKUP(B549,'CPF Table'!$A$4:$G$8,5,TRUE)*CPF!C549+VLOOKUP(B549,'CPF Table'!$A$4:$G$8,5,TRUE)*CPF!D549)</f>
        <v>0</v>
      </c>
      <c r="G549" s="18">
        <f>VLOOKUP(B549,'CPF Table'!$A$13:$E$23,3,TRUE)*F549</f>
        <v>0</v>
      </c>
      <c r="H549" s="18">
        <f>VLOOKUP(B549,'CPF Table'!$A$13:$E$23,4,TRUE)*CPF!F549</f>
        <v>0</v>
      </c>
      <c r="I549" s="18">
        <f>VLOOKUP(B549,'CPF Table'!$A$13:$E$23,5,TRUE)*CPF!F549</f>
        <v>0</v>
      </c>
      <c r="J549" s="103">
        <f t="shared" si="16"/>
        <v>0</v>
      </c>
    </row>
    <row r="550" spans="3:10">
      <c r="C550" s="126">
        <v>0</v>
      </c>
      <c r="D550" s="127">
        <v>0</v>
      </c>
      <c r="E550" s="82">
        <f t="shared" si="17"/>
        <v>0</v>
      </c>
      <c r="F550" s="18">
        <f>IF(VLOOKUP(B550,'CPF Table'!$A$4:$G$8,5,TRUE)*CPF!C550&gt;=VLOOKUP(B550,'CPF Table'!$A$4:$G$8,6,TRUE),VLOOKUP(B550,'CPF Table'!$A$4:$G$8,5,TRUE)*C550+VLOOKUP(B550,'CPF Table'!$A$4:$G$8,5,TRUE)*CPF!D550,VLOOKUP(B550,'CPF Table'!$A$4:$G$8,5,TRUE)*CPF!C550+VLOOKUP(B550,'CPF Table'!$A$4:$G$8,5,TRUE)*CPF!D550)</f>
        <v>0</v>
      </c>
      <c r="G550" s="18">
        <f>VLOOKUP(B550,'CPF Table'!$A$13:$E$23,3,TRUE)*F550</f>
        <v>0</v>
      </c>
      <c r="H550" s="18">
        <f>VLOOKUP(B550,'CPF Table'!$A$13:$E$23,4,TRUE)*CPF!F550</f>
        <v>0</v>
      </c>
      <c r="I550" s="18">
        <f>VLOOKUP(B550,'CPF Table'!$A$13:$E$23,5,TRUE)*CPF!F550</f>
        <v>0</v>
      </c>
      <c r="J550" s="103">
        <f t="shared" si="16"/>
        <v>0</v>
      </c>
    </row>
    <row r="551" spans="3:10">
      <c r="C551" s="126">
        <v>0</v>
      </c>
      <c r="D551" s="127">
        <v>0</v>
      </c>
      <c r="E551" s="82">
        <f t="shared" si="17"/>
        <v>0</v>
      </c>
      <c r="F551" s="18">
        <f>IF(VLOOKUP(B551,'CPF Table'!$A$4:$G$8,5,TRUE)*CPF!C551&gt;=VLOOKUP(B551,'CPF Table'!$A$4:$G$8,6,TRUE),VLOOKUP(B551,'CPF Table'!$A$4:$G$8,5,TRUE)*C551+VLOOKUP(B551,'CPF Table'!$A$4:$G$8,5,TRUE)*CPF!D551,VLOOKUP(B551,'CPF Table'!$A$4:$G$8,5,TRUE)*CPF!C551+VLOOKUP(B551,'CPF Table'!$A$4:$G$8,5,TRUE)*CPF!D551)</f>
        <v>0</v>
      </c>
      <c r="G551" s="18">
        <f>VLOOKUP(B551,'CPF Table'!$A$13:$E$23,3,TRUE)*F551</f>
        <v>0</v>
      </c>
      <c r="H551" s="18">
        <f>VLOOKUP(B551,'CPF Table'!$A$13:$E$23,4,TRUE)*CPF!F551</f>
        <v>0</v>
      </c>
      <c r="I551" s="18">
        <f>VLOOKUP(B551,'CPF Table'!$A$13:$E$23,5,TRUE)*CPF!F551</f>
        <v>0</v>
      </c>
      <c r="J551" s="103">
        <f t="shared" si="16"/>
        <v>0</v>
      </c>
    </row>
    <row r="552" spans="3:10">
      <c r="C552" s="126">
        <v>0</v>
      </c>
      <c r="D552" s="127">
        <v>0</v>
      </c>
      <c r="E552" s="82">
        <f t="shared" si="17"/>
        <v>0</v>
      </c>
      <c r="F552" s="18">
        <f>IF(VLOOKUP(B552,'CPF Table'!$A$4:$G$8,5,TRUE)*CPF!C552&gt;=VLOOKUP(B552,'CPF Table'!$A$4:$G$8,6,TRUE),VLOOKUP(B552,'CPF Table'!$A$4:$G$8,5,TRUE)*C552+VLOOKUP(B552,'CPF Table'!$A$4:$G$8,5,TRUE)*CPF!D552,VLOOKUP(B552,'CPF Table'!$A$4:$G$8,5,TRUE)*CPF!C552+VLOOKUP(B552,'CPF Table'!$A$4:$G$8,5,TRUE)*CPF!D552)</f>
        <v>0</v>
      </c>
      <c r="G552" s="18">
        <f>VLOOKUP(B552,'CPF Table'!$A$13:$E$23,3,TRUE)*F552</f>
        <v>0</v>
      </c>
      <c r="H552" s="18">
        <f>VLOOKUP(B552,'CPF Table'!$A$13:$E$23,4,TRUE)*CPF!F552</f>
        <v>0</v>
      </c>
      <c r="I552" s="18">
        <f>VLOOKUP(B552,'CPF Table'!$A$13:$E$23,5,TRUE)*CPF!F552</f>
        <v>0</v>
      </c>
      <c r="J552" s="103">
        <f t="shared" si="16"/>
        <v>0</v>
      </c>
    </row>
    <row r="553" spans="3:10">
      <c r="C553" s="126">
        <v>0</v>
      </c>
      <c r="D553" s="127">
        <v>0</v>
      </c>
      <c r="E553" s="82">
        <f t="shared" si="17"/>
        <v>0</v>
      </c>
      <c r="F553" s="18">
        <f>IF(VLOOKUP(B553,'CPF Table'!$A$4:$G$8,5,TRUE)*CPF!C553&gt;=VLOOKUP(B553,'CPF Table'!$A$4:$G$8,6,TRUE),VLOOKUP(B553,'CPF Table'!$A$4:$G$8,5,TRUE)*C553+VLOOKUP(B553,'CPF Table'!$A$4:$G$8,5,TRUE)*CPF!D553,VLOOKUP(B553,'CPF Table'!$A$4:$G$8,5,TRUE)*CPF!C553+VLOOKUP(B553,'CPF Table'!$A$4:$G$8,5,TRUE)*CPF!D553)</f>
        <v>0</v>
      </c>
      <c r="G553" s="18">
        <f>VLOOKUP(B553,'CPF Table'!$A$13:$E$23,3,TRUE)*F553</f>
        <v>0</v>
      </c>
      <c r="H553" s="18">
        <f>VLOOKUP(B553,'CPF Table'!$A$13:$E$23,4,TRUE)*CPF!F553</f>
        <v>0</v>
      </c>
      <c r="I553" s="18">
        <f>VLOOKUP(B553,'CPF Table'!$A$13:$E$23,5,TRUE)*CPF!F553</f>
        <v>0</v>
      </c>
      <c r="J553" s="103">
        <f t="shared" si="16"/>
        <v>0</v>
      </c>
    </row>
    <row r="554" spans="3:10">
      <c r="C554" s="126">
        <v>0</v>
      </c>
      <c r="D554" s="127">
        <v>0</v>
      </c>
      <c r="E554" s="82">
        <f t="shared" si="17"/>
        <v>0</v>
      </c>
      <c r="F554" s="18">
        <f>IF(VLOOKUP(B554,'CPF Table'!$A$4:$G$8,5,TRUE)*CPF!C554&gt;=VLOOKUP(B554,'CPF Table'!$A$4:$G$8,6,TRUE),VLOOKUP(B554,'CPF Table'!$A$4:$G$8,5,TRUE)*C554+VLOOKUP(B554,'CPF Table'!$A$4:$G$8,5,TRUE)*CPF!D554,VLOOKUP(B554,'CPF Table'!$A$4:$G$8,5,TRUE)*CPF!C554+VLOOKUP(B554,'CPF Table'!$A$4:$G$8,5,TRUE)*CPF!D554)</f>
        <v>0</v>
      </c>
      <c r="G554" s="18">
        <f>VLOOKUP(B554,'CPF Table'!$A$13:$E$23,3,TRUE)*F554</f>
        <v>0</v>
      </c>
      <c r="H554" s="18">
        <f>VLOOKUP(B554,'CPF Table'!$A$13:$E$23,4,TRUE)*CPF!F554</f>
        <v>0</v>
      </c>
      <c r="I554" s="18">
        <f>VLOOKUP(B554,'CPF Table'!$A$13:$E$23,5,TRUE)*CPF!F554</f>
        <v>0</v>
      </c>
      <c r="J554" s="103">
        <f t="shared" si="16"/>
        <v>0</v>
      </c>
    </row>
    <row r="555" spans="3:10">
      <c r="C555" s="126">
        <v>0</v>
      </c>
      <c r="D555" s="127">
        <v>0</v>
      </c>
      <c r="E555" s="82">
        <f t="shared" si="17"/>
        <v>0</v>
      </c>
      <c r="F555" s="18">
        <f>IF(VLOOKUP(B555,'CPF Table'!$A$4:$G$8,5,TRUE)*CPF!C555&gt;=VLOOKUP(B555,'CPF Table'!$A$4:$G$8,6,TRUE),VLOOKUP(B555,'CPF Table'!$A$4:$G$8,5,TRUE)*C555+VLOOKUP(B555,'CPF Table'!$A$4:$G$8,5,TRUE)*CPF!D555,VLOOKUP(B555,'CPF Table'!$A$4:$G$8,5,TRUE)*CPF!C555+VLOOKUP(B555,'CPF Table'!$A$4:$G$8,5,TRUE)*CPF!D555)</f>
        <v>0</v>
      </c>
      <c r="G555" s="18">
        <f>VLOOKUP(B555,'CPF Table'!$A$13:$E$23,3,TRUE)*F555</f>
        <v>0</v>
      </c>
      <c r="H555" s="18">
        <f>VLOOKUP(B555,'CPF Table'!$A$13:$E$23,4,TRUE)*CPF!F555</f>
        <v>0</v>
      </c>
      <c r="I555" s="18">
        <f>VLOOKUP(B555,'CPF Table'!$A$13:$E$23,5,TRUE)*CPF!F555</f>
        <v>0</v>
      </c>
      <c r="J555" s="103">
        <f t="shared" si="16"/>
        <v>0</v>
      </c>
    </row>
    <row r="556" spans="3:10">
      <c r="C556" s="126">
        <v>0</v>
      </c>
      <c r="D556" s="127">
        <v>0</v>
      </c>
      <c r="E556" s="82">
        <f t="shared" si="17"/>
        <v>0</v>
      </c>
      <c r="F556" s="18">
        <f>IF(VLOOKUP(B556,'CPF Table'!$A$4:$G$8,5,TRUE)*CPF!C556&gt;=VLOOKUP(B556,'CPF Table'!$A$4:$G$8,6,TRUE),VLOOKUP(B556,'CPF Table'!$A$4:$G$8,5,TRUE)*C556+VLOOKUP(B556,'CPF Table'!$A$4:$G$8,5,TRUE)*CPF!D556,VLOOKUP(B556,'CPF Table'!$A$4:$G$8,5,TRUE)*CPF!C556+VLOOKUP(B556,'CPF Table'!$A$4:$G$8,5,TRUE)*CPF!D556)</f>
        <v>0</v>
      </c>
      <c r="G556" s="18">
        <f>VLOOKUP(B556,'CPF Table'!$A$13:$E$23,3,TRUE)*F556</f>
        <v>0</v>
      </c>
      <c r="H556" s="18">
        <f>VLOOKUP(B556,'CPF Table'!$A$13:$E$23,4,TRUE)*CPF!F556</f>
        <v>0</v>
      </c>
      <c r="I556" s="18">
        <f>VLOOKUP(B556,'CPF Table'!$A$13:$E$23,5,TRUE)*CPF!F556</f>
        <v>0</v>
      </c>
      <c r="J556" s="103">
        <f t="shared" si="16"/>
        <v>0</v>
      </c>
    </row>
    <row r="557" spans="3:10">
      <c r="C557" s="126">
        <v>0</v>
      </c>
      <c r="D557" s="127">
        <v>0</v>
      </c>
      <c r="E557" s="82">
        <f t="shared" si="17"/>
        <v>0</v>
      </c>
      <c r="F557" s="18">
        <f>IF(VLOOKUP(B557,'CPF Table'!$A$4:$G$8,5,TRUE)*CPF!C557&gt;=VLOOKUP(B557,'CPF Table'!$A$4:$G$8,6,TRUE),VLOOKUP(B557,'CPF Table'!$A$4:$G$8,5,TRUE)*C557+VLOOKUP(B557,'CPF Table'!$A$4:$G$8,5,TRUE)*CPF!D557,VLOOKUP(B557,'CPF Table'!$A$4:$G$8,5,TRUE)*CPF!C557+VLOOKUP(B557,'CPF Table'!$A$4:$G$8,5,TRUE)*CPF!D557)</f>
        <v>0</v>
      </c>
      <c r="G557" s="18">
        <f>VLOOKUP(B557,'CPF Table'!$A$13:$E$23,3,TRUE)*F557</f>
        <v>0</v>
      </c>
      <c r="H557" s="18">
        <f>VLOOKUP(B557,'CPF Table'!$A$13:$E$23,4,TRUE)*CPF!F557</f>
        <v>0</v>
      </c>
      <c r="I557" s="18">
        <f>VLOOKUP(B557,'CPF Table'!$A$13:$E$23,5,TRUE)*CPF!F557</f>
        <v>0</v>
      </c>
      <c r="J557" s="103">
        <f t="shared" si="16"/>
        <v>0</v>
      </c>
    </row>
    <row r="558" spans="3:10">
      <c r="C558" s="126">
        <v>0</v>
      </c>
      <c r="D558" s="127">
        <v>0</v>
      </c>
      <c r="E558" s="82">
        <f t="shared" si="17"/>
        <v>0</v>
      </c>
      <c r="F558" s="18">
        <f>IF(VLOOKUP(B558,'CPF Table'!$A$4:$G$8,5,TRUE)*CPF!C558&gt;=VLOOKUP(B558,'CPF Table'!$A$4:$G$8,6,TRUE),VLOOKUP(B558,'CPF Table'!$A$4:$G$8,5,TRUE)*C558+VLOOKUP(B558,'CPF Table'!$A$4:$G$8,5,TRUE)*CPF!D558,VLOOKUP(B558,'CPF Table'!$A$4:$G$8,5,TRUE)*CPF!C558+VLOOKUP(B558,'CPF Table'!$A$4:$G$8,5,TRUE)*CPF!D558)</f>
        <v>0</v>
      </c>
      <c r="G558" s="18">
        <f>VLOOKUP(B558,'CPF Table'!$A$13:$E$23,3,TRUE)*F558</f>
        <v>0</v>
      </c>
      <c r="H558" s="18">
        <f>VLOOKUP(B558,'CPF Table'!$A$13:$E$23,4,TRUE)*CPF!F558</f>
        <v>0</v>
      </c>
      <c r="I558" s="18">
        <f>VLOOKUP(B558,'CPF Table'!$A$13:$E$23,5,TRUE)*CPF!F558</f>
        <v>0</v>
      </c>
      <c r="J558" s="103">
        <f t="shared" si="16"/>
        <v>0</v>
      </c>
    </row>
    <row r="559" spans="3:10">
      <c r="C559" s="126">
        <v>0</v>
      </c>
      <c r="D559" s="127">
        <v>0</v>
      </c>
      <c r="E559" s="82">
        <f t="shared" si="17"/>
        <v>0</v>
      </c>
      <c r="F559" s="18">
        <f>IF(VLOOKUP(B559,'CPF Table'!$A$4:$G$8,5,TRUE)*CPF!C559&gt;=VLOOKUP(B559,'CPF Table'!$A$4:$G$8,6,TRUE),VLOOKUP(B559,'CPF Table'!$A$4:$G$8,5,TRUE)*C559+VLOOKUP(B559,'CPF Table'!$A$4:$G$8,5,TRUE)*CPF!D559,VLOOKUP(B559,'CPF Table'!$A$4:$G$8,5,TRUE)*CPF!C559+VLOOKUP(B559,'CPF Table'!$A$4:$G$8,5,TRUE)*CPF!D559)</f>
        <v>0</v>
      </c>
      <c r="G559" s="18">
        <f>VLOOKUP(B559,'CPF Table'!$A$13:$E$23,3,TRUE)*F559</f>
        <v>0</v>
      </c>
      <c r="H559" s="18">
        <f>VLOOKUP(B559,'CPF Table'!$A$13:$E$23,4,TRUE)*CPF!F559</f>
        <v>0</v>
      </c>
      <c r="I559" s="18">
        <f>VLOOKUP(B559,'CPF Table'!$A$13:$E$23,5,TRUE)*CPF!F559</f>
        <v>0</v>
      </c>
      <c r="J559" s="103">
        <f t="shared" si="16"/>
        <v>0</v>
      </c>
    </row>
    <row r="560" spans="3:10">
      <c r="C560" s="126">
        <v>0</v>
      </c>
      <c r="D560" s="127">
        <v>0</v>
      </c>
      <c r="E560" s="82">
        <f t="shared" si="17"/>
        <v>0</v>
      </c>
      <c r="F560" s="18">
        <f>IF(VLOOKUP(B560,'CPF Table'!$A$4:$G$8,5,TRUE)*CPF!C560&gt;=VLOOKUP(B560,'CPF Table'!$A$4:$G$8,6,TRUE),VLOOKUP(B560,'CPF Table'!$A$4:$G$8,5,TRUE)*C560+VLOOKUP(B560,'CPF Table'!$A$4:$G$8,5,TRUE)*CPF!D560,VLOOKUP(B560,'CPF Table'!$A$4:$G$8,5,TRUE)*CPF!C560+VLOOKUP(B560,'CPF Table'!$A$4:$G$8,5,TRUE)*CPF!D560)</f>
        <v>0</v>
      </c>
      <c r="G560" s="18">
        <f>VLOOKUP(B560,'CPF Table'!$A$13:$E$23,3,TRUE)*F560</f>
        <v>0</v>
      </c>
      <c r="H560" s="18">
        <f>VLOOKUP(B560,'CPF Table'!$A$13:$E$23,4,TRUE)*CPF!F560</f>
        <v>0</v>
      </c>
      <c r="I560" s="18">
        <f>VLOOKUP(B560,'CPF Table'!$A$13:$E$23,5,TRUE)*CPF!F560</f>
        <v>0</v>
      </c>
      <c r="J560" s="103">
        <f t="shared" si="16"/>
        <v>0</v>
      </c>
    </row>
    <row r="561" spans="3:10">
      <c r="C561" s="126">
        <v>0</v>
      </c>
      <c r="D561" s="127">
        <v>0</v>
      </c>
      <c r="E561" s="82">
        <f t="shared" si="17"/>
        <v>0</v>
      </c>
      <c r="F561" s="18">
        <f>IF(VLOOKUP(B561,'CPF Table'!$A$4:$G$8,5,TRUE)*CPF!C561&gt;=VLOOKUP(B561,'CPF Table'!$A$4:$G$8,6,TRUE),VLOOKUP(B561,'CPF Table'!$A$4:$G$8,5,TRUE)*C561+VLOOKUP(B561,'CPF Table'!$A$4:$G$8,5,TRUE)*CPF!D561,VLOOKUP(B561,'CPF Table'!$A$4:$G$8,5,TRUE)*CPF!C561+VLOOKUP(B561,'CPF Table'!$A$4:$G$8,5,TRUE)*CPF!D561)</f>
        <v>0</v>
      </c>
      <c r="G561" s="18">
        <f>VLOOKUP(B561,'CPF Table'!$A$13:$E$23,3,TRUE)*F561</f>
        <v>0</v>
      </c>
      <c r="H561" s="18">
        <f>VLOOKUP(B561,'CPF Table'!$A$13:$E$23,4,TRUE)*CPF!F561</f>
        <v>0</v>
      </c>
      <c r="I561" s="18">
        <f>VLOOKUP(B561,'CPF Table'!$A$13:$E$23,5,TRUE)*CPF!F561</f>
        <v>0</v>
      </c>
      <c r="J561" s="103">
        <f t="shared" si="16"/>
        <v>0</v>
      </c>
    </row>
    <row r="562" spans="3:10">
      <c r="C562" s="126">
        <v>0</v>
      </c>
      <c r="D562" s="127">
        <v>0</v>
      </c>
      <c r="E562" s="82">
        <f t="shared" si="17"/>
        <v>0</v>
      </c>
      <c r="F562" s="18">
        <f>IF(VLOOKUP(B562,'CPF Table'!$A$4:$G$8,5,TRUE)*CPF!C562&gt;=VLOOKUP(B562,'CPF Table'!$A$4:$G$8,6,TRUE),VLOOKUP(B562,'CPF Table'!$A$4:$G$8,5,TRUE)*C562+VLOOKUP(B562,'CPF Table'!$A$4:$G$8,5,TRUE)*CPF!D562,VLOOKUP(B562,'CPF Table'!$A$4:$G$8,5,TRUE)*CPF!C562+VLOOKUP(B562,'CPF Table'!$A$4:$G$8,5,TRUE)*CPF!D562)</f>
        <v>0</v>
      </c>
      <c r="G562" s="18">
        <f>VLOOKUP(B562,'CPF Table'!$A$13:$E$23,3,TRUE)*F562</f>
        <v>0</v>
      </c>
      <c r="H562" s="18">
        <f>VLOOKUP(B562,'CPF Table'!$A$13:$E$23,4,TRUE)*CPF!F562</f>
        <v>0</v>
      </c>
      <c r="I562" s="18">
        <f>VLOOKUP(B562,'CPF Table'!$A$13:$E$23,5,TRUE)*CPF!F562</f>
        <v>0</v>
      </c>
      <c r="J562" s="103">
        <f t="shared" si="16"/>
        <v>0</v>
      </c>
    </row>
    <row r="563" spans="3:10">
      <c r="C563" s="126">
        <v>0</v>
      </c>
      <c r="D563" s="127">
        <v>0</v>
      </c>
      <c r="E563" s="82">
        <f t="shared" si="17"/>
        <v>0</v>
      </c>
      <c r="F563" s="18">
        <f>IF(VLOOKUP(B563,'CPF Table'!$A$4:$G$8,5,TRUE)*CPF!C563&gt;=VLOOKUP(B563,'CPF Table'!$A$4:$G$8,6,TRUE),VLOOKUP(B563,'CPF Table'!$A$4:$G$8,5,TRUE)*C563+VLOOKUP(B563,'CPF Table'!$A$4:$G$8,5,TRUE)*CPF!D563,VLOOKUP(B563,'CPF Table'!$A$4:$G$8,5,TRUE)*CPF!C563+VLOOKUP(B563,'CPF Table'!$A$4:$G$8,5,TRUE)*CPF!D563)</f>
        <v>0</v>
      </c>
      <c r="G563" s="18">
        <f>VLOOKUP(B563,'CPF Table'!$A$13:$E$23,3,TRUE)*F563</f>
        <v>0</v>
      </c>
      <c r="H563" s="18">
        <f>VLOOKUP(B563,'CPF Table'!$A$13:$E$23,4,TRUE)*CPF!F563</f>
        <v>0</v>
      </c>
      <c r="I563" s="18">
        <f>VLOOKUP(B563,'CPF Table'!$A$13:$E$23,5,TRUE)*CPF!F563</f>
        <v>0</v>
      </c>
      <c r="J563" s="103">
        <f t="shared" si="16"/>
        <v>0</v>
      </c>
    </row>
    <row r="564" spans="3:10">
      <c r="C564" s="126">
        <v>0</v>
      </c>
      <c r="D564" s="127">
        <v>0</v>
      </c>
      <c r="E564" s="82">
        <f t="shared" si="17"/>
        <v>0</v>
      </c>
      <c r="F564" s="18">
        <f>IF(VLOOKUP(B564,'CPF Table'!$A$4:$G$8,5,TRUE)*CPF!C564&gt;=VLOOKUP(B564,'CPF Table'!$A$4:$G$8,6,TRUE),VLOOKUP(B564,'CPF Table'!$A$4:$G$8,5,TRUE)*C564+VLOOKUP(B564,'CPF Table'!$A$4:$G$8,5,TRUE)*CPF!D564,VLOOKUP(B564,'CPF Table'!$A$4:$G$8,5,TRUE)*CPF!C564+VLOOKUP(B564,'CPF Table'!$A$4:$G$8,5,TRUE)*CPF!D564)</f>
        <v>0</v>
      </c>
      <c r="G564" s="18">
        <f>VLOOKUP(B564,'CPF Table'!$A$13:$E$23,3,TRUE)*F564</f>
        <v>0</v>
      </c>
      <c r="H564" s="18">
        <f>VLOOKUP(B564,'CPF Table'!$A$13:$E$23,4,TRUE)*CPF!F564</f>
        <v>0</v>
      </c>
      <c r="I564" s="18">
        <f>VLOOKUP(B564,'CPF Table'!$A$13:$E$23,5,TRUE)*CPF!F564</f>
        <v>0</v>
      </c>
      <c r="J564" s="103">
        <f t="shared" si="16"/>
        <v>0</v>
      </c>
    </row>
    <row r="565" spans="3:10">
      <c r="C565" s="126">
        <v>0</v>
      </c>
      <c r="D565" s="127">
        <v>0</v>
      </c>
      <c r="E565" s="82">
        <f t="shared" si="17"/>
        <v>0</v>
      </c>
      <c r="F565" s="18">
        <f>IF(VLOOKUP(B565,'CPF Table'!$A$4:$G$8,5,TRUE)*CPF!C565&gt;=VLOOKUP(B565,'CPF Table'!$A$4:$G$8,6,TRUE),VLOOKUP(B565,'CPF Table'!$A$4:$G$8,5,TRUE)*C565+VLOOKUP(B565,'CPF Table'!$A$4:$G$8,5,TRUE)*CPF!D565,VLOOKUP(B565,'CPF Table'!$A$4:$G$8,5,TRUE)*CPF!C565+VLOOKUP(B565,'CPF Table'!$A$4:$G$8,5,TRUE)*CPF!D565)</f>
        <v>0</v>
      </c>
      <c r="G565" s="18">
        <f>VLOOKUP(B565,'CPF Table'!$A$13:$E$23,3,TRUE)*F565</f>
        <v>0</v>
      </c>
      <c r="H565" s="18">
        <f>VLOOKUP(B565,'CPF Table'!$A$13:$E$23,4,TRUE)*CPF!F565</f>
        <v>0</v>
      </c>
      <c r="I565" s="18">
        <f>VLOOKUP(B565,'CPF Table'!$A$13:$E$23,5,TRUE)*CPF!F565</f>
        <v>0</v>
      </c>
      <c r="J565" s="103">
        <f t="shared" si="16"/>
        <v>0</v>
      </c>
    </row>
    <row r="566" spans="3:10">
      <c r="C566" s="126">
        <v>0</v>
      </c>
      <c r="D566" s="127">
        <v>0</v>
      </c>
      <c r="E566" s="82">
        <f t="shared" si="17"/>
        <v>0</v>
      </c>
      <c r="F566" s="18">
        <f>IF(VLOOKUP(B566,'CPF Table'!$A$4:$G$8,5,TRUE)*CPF!C566&gt;=VLOOKUP(B566,'CPF Table'!$A$4:$G$8,6,TRUE),VLOOKUP(B566,'CPF Table'!$A$4:$G$8,5,TRUE)*C566+VLOOKUP(B566,'CPF Table'!$A$4:$G$8,5,TRUE)*CPF!D566,VLOOKUP(B566,'CPF Table'!$A$4:$G$8,5,TRUE)*CPF!C566+VLOOKUP(B566,'CPF Table'!$A$4:$G$8,5,TRUE)*CPF!D566)</f>
        <v>0</v>
      </c>
      <c r="G566" s="18">
        <f>VLOOKUP(B566,'CPF Table'!$A$13:$E$23,3,TRUE)*F566</f>
        <v>0</v>
      </c>
      <c r="H566" s="18">
        <f>VLOOKUP(B566,'CPF Table'!$A$13:$E$23,4,TRUE)*CPF!F566</f>
        <v>0</v>
      </c>
      <c r="I566" s="18">
        <f>VLOOKUP(B566,'CPF Table'!$A$13:$E$23,5,TRUE)*CPF!F566</f>
        <v>0</v>
      </c>
      <c r="J566" s="103">
        <f t="shared" si="16"/>
        <v>0</v>
      </c>
    </row>
    <row r="567" spans="3:10">
      <c r="C567" s="126">
        <v>0</v>
      </c>
      <c r="D567" s="127">
        <v>0</v>
      </c>
      <c r="E567" s="82">
        <f t="shared" si="17"/>
        <v>0</v>
      </c>
      <c r="F567" s="18">
        <f>IF(VLOOKUP(B567,'CPF Table'!$A$4:$G$8,5,TRUE)*CPF!C567&gt;=VLOOKUP(B567,'CPF Table'!$A$4:$G$8,6,TRUE),VLOOKUP(B567,'CPF Table'!$A$4:$G$8,5,TRUE)*C567+VLOOKUP(B567,'CPF Table'!$A$4:$G$8,5,TRUE)*CPF!D567,VLOOKUP(B567,'CPF Table'!$A$4:$G$8,5,TRUE)*CPF!C567+VLOOKUP(B567,'CPF Table'!$A$4:$G$8,5,TRUE)*CPF!D567)</f>
        <v>0</v>
      </c>
      <c r="G567" s="18">
        <f>VLOOKUP(B567,'CPF Table'!$A$13:$E$23,3,TRUE)*F567</f>
        <v>0</v>
      </c>
      <c r="H567" s="18">
        <f>VLOOKUP(B567,'CPF Table'!$A$13:$E$23,4,TRUE)*CPF!F567</f>
        <v>0</v>
      </c>
      <c r="I567" s="18">
        <f>VLOOKUP(B567,'CPF Table'!$A$13:$E$23,5,TRUE)*CPF!F567</f>
        <v>0</v>
      </c>
      <c r="J567" s="103">
        <f t="shared" si="16"/>
        <v>0</v>
      </c>
    </row>
    <row r="568" spans="3:10">
      <c r="C568" s="126">
        <v>0</v>
      </c>
      <c r="D568" s="127">
        <v>0</v>
      </c>
      <c r="E568" s="82">
        <f t="shared" si="17"/>
        <v>0</v>
      </c>
      <c r="F568" s="18">
        <f>IF(VLOOKUP(B568,'CPF Table'!$A$4:$G$8,5,TRUE)*CPF!C568&gt;=VLOOKUP(B568,'CPF Table'!$A$4:$G$8,6,TRUE),VLOOKUP(B568,'CPF Table'!$A$4:$G$8,5,TRUE)*C568+VLOOKUP(B568,'CPF Table'!$A$4:$G$8,5,TRUE)*CPF!D568,VLOOKUP(B568,'CPF Table'!$A$4:$G$8,5,TRUE)*CPF!C568+VLOOKUP(B568,'CPF Table'!$A$4:$G$8,5,TRUE)*CPF!D568)</f>
        <v>0</v>
      </c>
      <c r="G568" s="18">
        <f>VLOOKUP(B568,'CPF Table'!$A$13:$E$23,3,TRUE)*F568</f>
        <v>0</v>
      </c>
      <c r="H568" s="18">
        <f>VLOOKUP(B568,'CPF Table'!$A$13:$E$23,4,TRUE)*CPF!F568</f>
        <v>0</v>
      </c>
      <c r="I568" s="18">
        <f>VLOOKUP(B568,'CPF Table'!$A$13:$E$23,5,TRUE)*CPF!F568</f>
        <v>0</v>
      </c>
      <c r="J568" s="103">
        <f t="shared" si="16"/>
        <v>0</v>
      </c>
    </row>
    <row r="569" spans="3:10">
      <c r="C569" s="126">
        <v>0</v>
      </c>
      <c r="D569" s="127">
        <v>0</v>
      </c>
      <c r="E569" s="82">
        <f t="shared" si="17"/>
        <v>0</v>
      </c>
      <c r="F569" s="18">
        <f>IF(VLOOKUP(B569,'CPF Table'!$A$4:$G$8,5,TRUE)*CPF!C569&gt;=VLOOKUP(B569,'CPF Table'!$A$4:$G$8,6,TRUE),VLOOKUP(B569,'CPF Table'!$A$4:$G$8,5,TRUE)*C569+VLOOKUP(B569,'CPF Table'!$A$4:$G$8,5,TRUE)*CPF!D569,VLOOKUP(B569,'CPF Table'!$A$4:$G$8,5,TRUE)*CPF!C569+VLOOKUP(B569,'CPF Table'!$A$4:$G$8,5,TRUE)*CPF!D569)</f>
        <v>0</v>
      </c>
      <c r="G569" s="18">
        <f>VLOOKUP(B569,'CPF Table'!$A$13:$E$23,3,TRUE)*F569</f>
        <v>0</v>
      </c>
      <c r="H569" s="18">
        <f>VLOOKUP(B569,'CPF Table'!$A$13:$E$23,4,TRUE)*CPF!F569</f>
        <v>0</v>
      </c>
      <c r="I569" s="18">
        <f>VLOOKUP(B569,'CPF Table'!$A$13:$E$23,5,TRUE)*CPF!F569</f>
        <v>0</v>
      </c>
      <c r="J569" s="103">
        <f t="shared" si="16"/>
        <v>0</v>
      </c>
    </row>
    <row r="570" spans="3:10">
      <c r="C570" s="126">
        <v>0</v>
      </c>
      <c r="D570" s="127">
        <v>0</v>
      </c>
      <c r="E570" s="82">
        <f t="shared" si="17"/>
        <v>0</v>
      </c>
      <c r="F570" s="18">
        <f>IF(VLOOKUP(B570,'CPF Table'!$A$4:$G$8,5,TRUE)*CPF!C570&gt;=VLOOKUP(B570,'CPF Table'!$A$4:$G$8,6,TRUE),VLOOKUP(B570,'CPF Table'!$A$4:$G$8,5,TRUE)*C570+VLOOKUP(B570,'CPF Table'!$A$4:$G$8,5,TRUE)*CPF!D570,VLOOKUP(B570,'CPF Table'!$A$4:$G$8,5,TRUE)*CPF!C570+VLOOKUP(B570,'CPF Table'!$A$4:$G$8,5,TRUE)*CPF!D570)</f>
        <v>0</v>
      </c>
      <c r="G570" s="18">
        <f>VLOOKUP(B570,'CPF Table'!$A$13:$E$23,3,TRUE)*F570</f>
        <v>0</v>
      </c>
      <c r="H570" s="18">
        <f>VLOOKUP(B570,'CPF Table'!$A$13:$E$23,4,TRUE)*CPF!F570</f>
        <v>0</v>
      </c>
      <c r="I570" s="18">
        <f>VLOOKUP(B570,'CPF Table'!$A$13:$E$23,5,TRUE)*CPF!F570</f>
        <v>0</v>
      </c>
      <c r="J570" s="103">
        <f t="shared" si="16"/>
        <v>0</v>
      </c>
    </row>
    <row r="571" spans="3:10">
      <c r="C571" s="126">
        <v>0</v>
      </c>
      <c r="D571" s="127">
        <v>0</v>
      </c>
      <c r="E571" s="82">
        <f t="shared" si="17"/>
        <v>0</v>
      </c>
      <c r="F571" s="18">
        <f>IF(VLOOKUP(B571,'CPF Table'!$A$4:$G$8,5,TRUE)*CPF!C571&gt;=VLOOKUP(B571,'CPF Table'!$A$4:$G$8,6,TRUE),VLOOKUP(B571,'CPF Table'!$A$4:$G$8,5,TRUE)*C571+VLOOKUP(B571,'CPF Table'!$A$4:$G$8,5,TRUE)*CPF!D571,VLOOKUP(B571,'CPF Table'!$A$4:$G$8,5,TRUE)*CPF!C571+VLOOKUP(B571,'CPF Table'!$A$4:$G$8,5,TRUE)*CPF!D571)</f>
        <v>0</v>
      </c>
      <c r="G571" s="18">
        <f>VLOOKUP(B571,'CPF Table'!$A$13:$E$23,3,TRUE)*F571</f>
        <v>0</v>
      </c>
      <c r="H571" s="18">
        <f>VLOOKUP(B571,'CPF Table'!$A$13:$E$23,4,TRUE)*CPF!F571</f>
        <v>0</v>
      </c>
      <c r="I571" s="18">
        <f>VLOOKUP(B571,'CPF Table'!$A$13:$E$23,5,TRUE)*CPF!F571</f>
        <v>0</v>
      </c>
      <c r="J571" s="103">
        <f t="shared" si="16"/>
        <v>0</v>
      </c>
    </row>
    <row r="572" spans="3:10">
      <c r="C572" s="126">
        <v>0</v>
      </c>
      <c r="D572" s="127">
        <v>0</v>
      </c>
      <c r="E572" s="82">
        <f t="shared" si="17"/>
        <v>0</v>
      </c>
      <c r="F572" s="18">
        <f>IF(VLOOKUP(B572,'CPF Table'!$A$4:$G$8,5,TRUE)*CPF!C572&gt;=VLOOKUP(B572,'CPF Table'!$A$4:$G$8,6,TRUE),VLOOKUP(B572,'CPF Table'!$A$4:$G$8,5,TRUE)*C572+VLOOKUP(B572,'CPF Table'!$A$4:$G$8,5,TRUE)*CPF!D572,VLOOKUP(B572,'CPF Table'!$A$4:$G$8,5,TRUE)*CPF!C572+VLOOKUP(B572,'CPF Table'!$A$4:$G$8,5,TRUE)*CPF!D572)</f>
        <v>0</v>
      </c>
      <c r="G572" s="18">
        <f>VLOOKUP(B572,'CPF Table'!$A$13:$E$23,3,TRUE)*F572</f>
        <v>0</v>
      </c>
      <c r="H572" s="18">
        <f>VLOOKUP(B572,'CPF Table'!$A$13:$E$23,4,TRUE)*CPF!F572</f>
        <v>0</v>
      </c>
      <c r="I572" s="18">
        <f>VLOOKUP(B572,'CPF Table'!$A$13:$E$23,5,TRUE)*CPF!F572</f>
        <v>0</v>
      </c>
      <c r="J572" s="103">
        <f t="shared" si="16"/>
        <v>0</v>
      </c>
    </row>
    <row r="573" spans="3:10">
      <c r="C573" s="126">
        <v>0</v>
      </c>
      <c r="D573" s="127">
        <v>0</v>
      </c>
      <c r="E573" s="82">
        <f t="shared" si="17"/>
        <v>0</v>
      </c>
      <c r="F573" s="18">
        <f>IF(VLOOKUP(B573,'CPF Table'!$A$4:$G$8,5,TRUE)*CPF!C573&gt;=VLOOKUP(B573,'CPF Table'!$A$4:$G$8,6,TRUE),VLOOKUP(B573,'CPF Table'!$A$4:$G$8,5,TRUE)*C573+VLOOKUP(B573,'CPF Table'!$A$4:$G$8,5,TRUE)*CPF!D573,VLOOKUP(B573,'CPF Table'!$A$4:$G$8,5,TRUE)*CPF!C573+VLOOKUP(B573,'CPF Table'!$A$4:$G$8,5,TRUE)*CPF!D573)</f>
        <v>0</v>
      </c>
      <c r="G573" s="18">
        <f>VLOOKUP(B573,'CPF Table'!$A$13:$E$23,3,TRUE)*F573</f>
        <v>0</v>
      </c>
      <c r="H573" s="18">
        <f>VLOOKUP(B573,'CPF Table'!$A$13:$E$23,4,TRUE)*CPF!F573</f>
        <v>0</v>
      </c>
      <c r="I573" s="18">
        <f>VLOOKUP(B573,'CPF Table'!$A$13:$E$23,5,TRUE)*CPF!F573</f>
        <v>0</v>
      </c>
      <c r="J573" s="103">
        <f t="shared" si="16"/>
        <v>0</v>
      </c>
    </row>
    <row r="574" spans="3:10">
      <c r="C574" s="126">
        <v>0</v>
      </c>
      <c r="D574" s="127">
        <v>0</v>
      </c>
      <c r="E574" s="82">
        <f t="shared" si="17"/>
        <v>0</v>
      </c>
      <c r="F574" s="18">
        <f>IF(VLOOKUP(B574,'CPF Table'!$A$4:$G$8,5,TRUE)*CPF!C574&gt;=VLOOKUP(B574,'CPF Table'!$A$4:$G$8,6,TRUE),VLOOKUP(B574,'CPF Table'!$A$4:$G$8,5,TRUE)*C574+VLOOKUP(B574,'CPF Table'!$A$4:$G$8,5,TRUE)*CPF!D574,VLOOKUP(B574,'CPF Table'!$A$4:$G$8,5,TRUE)*CPF!C574+VLOOKUP(B574,'CPF Table'!$A$4:$G$8,5,TRUE)*CPF!D574)</f>
        <v>0</v>
      </c>
      <c r="G574" s="18">
        <f>VLOOKUP(B574,'CPF Table'!$A$13:$E$23,3,TRUE)*F574</f>
        <v>0</v>
      </c>
      <c r="H574" s="18">
        <f>VLOOKUP(B574,'CPF Table'!$A$13:$E$23,4,TRUE)*CPF!F574</f>
        <v>0</v>
      </c>
      <c r="I574" s="18">
        <f>VLOOKUP(B574,'CPF Table'!$A$13:$E$23,5,TRUE)*CPF!F574</f>
        <v>0</v>
      </c>
      <c r="J574" s="103">
        <f t="shared" si="16"/>
        <v>0</v>
      </c>
    </row>
    <row r="575" spans="3:10">
      <c r="C575" s="126">
        <v>0</v>
      </c>
      <c r="D575" s="127">
        <v>0</v>
      </c>
      <c r="E575" s="82">
        <f t="shared" si="17"/>
        <v>0</v>
      </c>
      <c r="F575" s="18">
        <f>IF(VLOOKUP(B575,'CPF Table'!$A$4:$G$8,5,TRUE)*CPF!C575&gt;=VLOOKUP(B575,'CPF Table'!$A$4:$G$8,6,TRUE),VLOOKUP(B575,'CPF Table'!$A$4:$G$8,5,TRUE)*C575+VLOOKUP(B575,'CPF Table'!$A$4:$G$8,5,TRUE)*CPF!D575,VLOOKUP(B575,'CPF Table'!$A$4:$G$8,5,TRUE)*CPF!C575+VLOOKUP(B575,'CPF Table'!$A$4:$G$8,5,TRUE)*CPF!D575)</f>
        <v>0</v>
      </c>
      <c r="G575" s="18">
        <f>VLOOKUP(B575,'CPF Table'!$A$13:$E$23,3,TRUE)*F575</f>
        <v>0</v>
      </c>
      <c r="H575" s="18">
        <f>VLOOKUP(B575,'CPF Table'!$A$13:$E$23,4,TRUE)*CPF!F575</f>
        <v>0</v>
      </c>
      <c r="I575" s="18">
        <f>VLOOKUP(B575,'CPF Table'!$A$13:$E$23,5,TRUE)*CPF!F575</f>
        <v>0</v>
      </c>
      <c r="J575" s="103">
        <f t="shared" si="16"/>
        <v>0</v>
      </c>
    </row>
    <row r="576" spans="3:10">
      <c r="C576" s="126">
        <v>0</v>
      </c>
      <c r="D576" s="127">
        <v>0</v>
      </c>
      <c r="E576" s="82">
        <f t="shared" si="17"/>
        <v>0</v>
      </c>
      <c r="F576" s="18">
        <f>IF(VLOOKUP(B576,'CPF Table'!$A$4:$G$8,5,TRUE)*CPF!C576&gt;=VLOOKUP(B576,'CPF Table'!$A$4:$G$8,6,TRUE),VLOOKUP(B576,'CPF Table'!$A$4:$G$8,5,TRUE)*C576+VLOOKUP(B576,'CPF Table'!$A$4:$G$8,5,TRUE)*CPF!D576,VLOOKUP(B576,'CPF Table'!$A$4:$G$8,5,TRUE)*CPF!C576+VLOOKUP(B576,'CPF Table'!$A$4:$G$8,5,TRUE)*CPF!D576)</f>
        <v>0</v>
      </c>
      <c r="G576" s="18">
        <f>VLOOKUP(B576,'CPF Table'!$A$13:$E$23,3,TRUE)*F576</f>
        <v>0</v>
      </c>
      <c r="H576" s="18">
        <f>VLOOKUP(B576,'CPF Table'!$A$13:$E$23,4,TRUE)*CPF!F576</f>
        <v>0</v>
      </c>
      <c r="I576" s="18">
        <f>VLOOKUP(B576,'CPF Table'!$A$13:$E$23,5,TRUE)*CPF!F576</f>
        <v>0</v>
      </c>
      <c r="J576" s="103">
        <f t="shared" si="16"/>
        <v>0</v>
      </c>
    </row>
    <row r="577" spans="3:10">
      <c r="C577" s="126">
        <v>0</v>
      </c>
      <c r="D577" s="127">
        <v>0</v>
      </c>
      <c r="E577" s="82">
        <f t="shared" si="17"/>
        <v>0</v>
      </c>
      <c r="F577" s="18">
        <f>IF(VLOOKUP(B577,'CPF Table'!$A$4:$G$8,5,TRUE)*CPF!C577&gt;=VLOOKUP(B577,'CPF Table'!$A$4:$G$8,6,TRUE),VLOOKUP(B577,'CPF Table'!$A$4:$G$8,5,TRUE)*C577+VLOOKUP(B577,'CPF Table'!$A$4:$G$8,5,TRUE)*CPF!D577,VLOOKUP(B577,'CPF Table'!$A$4:$G$8,5,TRUE)*CPF!C577+VLOOKUP(B577,'CPF Table'!$A$4:$G$8,5,TRUE)*CPF!D577)</f>
        <v>0</v>
      </c>
      <c r="G577" s="18">
        <f>VLOOKUP(B577,'CPF Table'!$A$13:$E$23,3,TRUE)*F577</f>
        <v>0</v>
      </c>
      <c r="H577" s="18">
        <f>VLOOKUP(B577,'CPF Table'!$A$13:$E$23,4,TRUE)*CPF!F577</f>
        <v>0</v>
      </c>
      <c r="I577" s="18">
        <f>VLOOKUP(B577,'CPF Table'!$A$13:$E$23,5,TRUE)*CPF!F577</f>
        <v>0</v>
      </c>
      <c r="J577" s="103">
        <f t="shared" si="16"/>
        <v>0</v>
      </c>
    </row>
    <row r="578" spans="3:10">
      <c r="C578" s="126">
        <v>0</v>
      </c>
      <c r="D578" s="127">
        <v>0</v>
      </c>
      <c r="E578" s="82">
        <f t="shared" si="17"/>
        <v>0</v>
      </c>
      <c r="F578" s="18">
        <f>IF(VLOOKUP(B578,'CPF Table'!$A$4:$G$8,5,TRUE)*CPF!C578&gt;=VLOOKUP(B578,'CPF Table'!$A$4:$G$8,6,TRUE),VLOOKUP(B578,'CPF Table'!$A$4:$G$8,5,TRUE)*C578+VLOOKUP(B578,'CPF Table'!$A$4:$G$8,5,TRUE)*CPF!D578,VLOOKUP(B578,'CPF Table'!$A$4:$G$8,5,TRUE)*CPF!C578+VLOOKUP(B578,'CPF Table'!$A$4:$G$8,5,TRUE)*CPF!D578)</f>
        <v>0</v>
      </c>
      <c r="G578" s="18">
        <f>VLOOKUP(B578,'CPF Table'!$A$13:$E$23,3,TRUE)*F578</f>
        <v>0</v>
      </c>
      <c r="H578" s="18">
        <f>VLOOKUP(B578,'CPF Table'!$A$13:$E$23,4,TRUE)*CPF!F578</f>
        <v>0</v>
      </c>
      <c r="I578" s="18">
        <f>VLOOKUP(B578,'CPF Table'!$A$13:$E$23,5,TRUE)*CPF!F578</f>
        <v>0</v>
      </c>
      <c r="J578" s="103">
        <f t="shared" si="16"/>
        <v>0</v>
      </c>
    </row>
    <row r="579" spans="3:10">
      <c r="C579" s="126">
        <v>0</v>
      </c>
      <c r="D579" s="127">
        <v>0</v>
      </c>
      <c r="E579" s="82">
        <f t="shared" si="17"/>
        <v>0</v>
      </c>
      <c r="F579" s="18">
        <f>IF(VLOOKUP(B579,'CPF Table'!$A$4:$G$8,5,TRUE)*CPF!C579&gt;=VLOOKUP(B579,'CPF Table'!$A$4:$G$8,6,TRUE),VLOOKUP(B579,'CPF Table'!$A$4:$G$8,5,TRUE)*C579+VLOOKUP(B579,'CPF Table'!$A$4:$G$8,5,TRUE)*CPF!D579,VLOOKUP(B579,'CPF Table'!$A$4:$G$8,5,TRUE)*CPF!C579+VLOOKUP(B579,'CPF Table'!$A$4:$G$8,5,TRUE)*CPF!D579)</f>
        <v>0</v>
      </c>
      <c r="G579" s="18">
        <f>VLOOKUP(B579,'CPF Table'!$A$13:$E$23,3,TRUE)*F579</f>
        <v>0</v>
      </c>
      <c r="H579" s="18">
        <f>VLOOKUP(B579,'CPF Table'!$A$13:$E$23,4,TRUE)*CPF!F579</f>
        <v>0</v>
      </c>
      <c r="I579" s="18">
        <f>VLOOKUP(B579,'CPF Table'!$A$13:$E$23,5,TRUE)*CPF!F579</f>
        <v>0</v>
      </c>
      <c r="J579" s="103">
        <f t="shared" si="16"/>
        <v>0</v>
      </c>
    </row>
    <row r="580" spans="3:10">
      <c r="C580" s="126">
        <v>0</v>
      </c>
      <c r="D580" s="127">
        <v>0</v>
      </c>
      <c r="E580" s="82">
        <f t="shared" si="17"/>
        <v>0</v>
      </c>
      <c r="F580" s="18">
        <f>IF(VLOOKUP(B580,'CPF Table'!$A$4:$G$8,5,TRUE)*CPF!C580&gt;=VLOOKUP(B580,'CPF Table'!$A$4:$G$8,6,TRUE),VLOOKUP(B580,'CPF Table'!$A$4:$G$8,5,TRUE)*C580+VLOOKUP(B580,'CPF Table'!$A$4:$G$8,5,TRUE)*CPF!D580,VLOOKUP(B580,'CPF Table'!$A$4:$G$8,5,TRUE)*CPF!C580+VLOOKUP(B580,'CPF Table'!$A$4:$G$8,5,TRUE)*CPF!D580)</f>
        <v>0</v>
      </c>
      <c r="G580" s="18">
        <f>VLOOKUP(B580,'CPF Table'!$A$13:$E$23,3,TRUE)*F580</f>
        <v>0</v>
      </c>
      <c r="H580" s="18">
        <f>VLOOKUP(B580,'CPF Table'!$A$13:$E$23,4,TRUE)*CPF!F580</f>
        <v>0</v>
      </c>
      <c r="I580" s="18">
        <f>VLOOKUP(B580,'CPF Table'!$A$13:$E$23,5,TRUE)*CPF!F580</f>
        <v>0</v>
      </c>
      <c r="J580" s="103">
        <f t="shared" si="16"/>
        <v>0</v>
      </c>
    </row>
    <row r="581" spans="3:10">
      <c r="C581" s="126">
        <v>0</v>
      </c>
      <c r="D581" s="127">
        <v>0</v>
      </c>
      <c r="E581" s="82">
        <f t="shared" si="17"/>
        <v>0</v>
      </c>
      <c r="F581" s="18">
        <f>IF(VLOOKUP(B581,'CPF Table'!$A$4:$G$8,5,TRUE)*CPF!C581&gt;=VLOOKUP(B581,'CPF Table'!$A$4:$G$8,6,TRUE),VLOOKUP(B581,'CPF Table'!$A$4:$G$8,5,TRUE)*C581+VLOOKUP(B581,'CPF Table'!$A$4:$G$8,5,TRUE)*CPF!D581,VLOOKUP(B581,'CPF Table'!$A$4:$G$8,5,TRUE)*CPF!C581+VLOOKUP(B581,'CPF Table'!$A$4:$G$8,5,TRUE)*CPF!D581)</f>
        <v>0</v>
      </c>
      <c r="G581" s="18">
        <f>VLOOKUP(B581,'CPF Table'!$A$13:$E$23,3,TRUE)*F581</f>
        <v>0</v>
      </c>
      <c r="H581" s="18">
        <f>VLOOKUP(B581,'CPF Table'!$A$13:$E$23,4,TRUE)*CPF!F581</f>
        <v>0</v>
      </c>
      <c r="I581" s="18">
        <f>VLOOKUP(B581,'CPF Table'!$A$13:$E$23,5,TRUE)*CPF!F581</f>
        <v>0</v>
      </c>
      <c r="J581" s="103">
        <f t="shared" si="16"/>
        <v>0</v>
      </c>
    </row>
    <row r="582" spans="3:10">
      <c r="C582" s="126">
        <v>0</v>
      </c>
      <c r="D582" s="127">
        <v>0</v>
      </c>
      <c r="E582" s="82">
        <f t="shared" si="17"/>
        <v>0</v>
      </c>
      <c r="F582" s="18">
        <f>IF(VLOOKUP(B582,'CPF Table'!$A$4:$G$8,5,TRUE)*CPF!C582&gt;=VLOOKUP(B582,'CPF Table'!$A$4:$G$8,6,TRUE),VLOOKUP(B582,'CPF Table'!$A$4:$G$8,5,TRUE)*C582+VLOOKUP(B582,'CPF Table'!$A$4:$G$8,5,TRUE)*CPF!D582,VLOOKUP(B582,'CPF Table'!$A$4:$G$8,5,TRUE)*CPF!C582+VLOOKUP(B582,'CPF Table'!$A$4:$G$8,5,TRUE)*CPF!D582)</f>
        <v>0</v>
      </c>
      <c r="G582" s="18">
        <f>VLOOKUP(B582,'CPF Table'!$A$13:$E$23,3,TRUE)*F582</f>
        <v>0</v>
      </c>
      <c r="H582" s="18">
        <f>VLOOKUP(B582,'CPF Table'!$A$13:$E$23,4,TRUE)*CPF!F582</f>
        <v>0</v>
      </c>
      <c r="I582" s="18">
        <f>VLOOKUP(B582,'CPF Table'!$A$13:$E$23,5,TRUE)*CPF!F582</f>
        <v>0</v>
      </c>
      <c r="J582" s="103">
        <f t="shared" si="16"/>
        <v>0</v>
      </c>
    </row>
    <row r="583" spans="3:10">
      <c r="C583" s="126">
        <v>0</v>
      </c>
      <c r="D583" s="127">
        <v>0</v>
      </c>
      <c r="E583" s="82">
        <f t="shared" si="17"/>
        <v>0</v>
      </c>
      <c r="F583" s="18">
        <f>IF(VLOOKUP(B583,'CPF Table'!$A$4:$G$8,5,TRUE)*CPF!C583&gt;=VLOOKUP(B583,'CPF Table'!$A$4:$G$8,6,TRUE),VLOOKUP(B583,'CPF Table'!$A$4:$G$8,5,TRUE)*C583+VLOOKUP(B583,'CPF Table'!$A$4:$G$8,5,TRUE)*CPF!D583,VLOOKUP(B583,'CPF Table'!$A$4:$G$8,5,TRUE)*CPF!C583+VLOOKUP(B583,'CPF Table'!$A$4:$G$8,5,TRUE)*CPF!D583)</f>
        <v>0</v>
      </c>
      <c r="G583" s="18">
        <f>VLOOKUP(B583,'CPF Table'!$A$13:$E$23,3,TRUE)*F583</f>
        <v>0</v>
      </c>
      <c r="H583" s="18">
        <f>VLOOKUP(B583,'CPF Table'!$A$13:$E$23,4,TRUE)*CPF!F583</f>
        <v>0</v>
      </c>
      <c r="I583" s="18">
        <f>VLOOKUP(B583,'CPF Table'!$A$13:$E$23,5,TRUE)*CPF!F583</f>
        <v>0</v>
      </c>
      <c r="J583" s="103">
        <f t="shared" si="16"/>
        <v>0</v>
      </c>
    </row>
    <row r="584" spans="3:10">
      <c r="C584" s="126">
        <v>0</v>
      </c>
      <c r="D584" s="127">
        <v>0</v>
      </c>
      <c r="E584" s="82">
        <f t="shared" si="17"/>
        <v>0</v>
      </c>
      <c r="F584" s="18">
        <f>IF(VLOOKUP(B584,'CPF Table'!$A$4:$G$8,5,TRUE)*CPF!C584&gt;=VLOOKUP(B584,'CPF Table'!$A$4:$G$8,6,TRUE),VLOOKUP(B584,'CPF Table'!$A$4:$G$8,5,TRUE)*C584+VLOOKUP(B584,'CPF Table'!$A$4:$G$8,5,TRUE)*CPF!D584,VLOOKUP(B584,'CPF Table'!$A$4:$G$8,5,TRUE)*CPF!C584+VLOOKUP(B584,'CPF Table'!$A$4:$G$8,5,TRUE)*CPF!D584)</f>
        <v>0</v>
      </c>
      <c r="G584" s="18">
        <f>VLOOKUP(B584,'CPF Table'!$A$13:$E$23,3,TRUE)*F584</f>
        <v>0</v>
      </c>
      <c r="H584" s="18">
        <f>VLOOKUP(B584,'CPF Table'!$A$13:$E$23,4,TRUE)*CPF!F584</f>
        <v>0</v>
      </c>
      <c r="I584" s="18">
        <f>VLOOKUP(B584,'CPF Table'!$A$13:$E$23,5,TRUE)*CPF!F584</f>
        <v>0</v>
      </c>
      <c r="J584" s="103">
        <f t="shared" si="16"/>
        <v>0</v>
      </c>
    </row>
    <row r="585" spans="3:10">
      <c r="C585" s="126">
        <v>0</v>
      </c>
      <c r="D585" s="127">
        <v>0</v>
      </c>
      <c r="E585" s="82">
        <f t="shared" si="17"/>
        <v>0</v>
      </c>
      <c r="F585" s="18">
        <f>IF(VLOOKUP(B585,'CPF Table'!$A$4:$G$8,5,TRUE)*CPF!C585&gt;=VLOOKUP(B585,'CPF Table'!$A$4:$G$8,6,TRUE),VLOOKUP(B585,'CPF Table'!$A$4:$G$8,5,TRUE)*C585+VLOOKUP(B585,'CPF Table'!$A$4:$G$8,5,TRUE)*CPF!D585,VLOOKUP(B585,'CPF Table'!$A$4:$G$8,5,TRUE)*CPF!C585+VLOOKUP(B585,'CPF Table'!$A$4:$G$8,5,TRUE)*CPF!D585)</f>
        <v>0</v>
      </c>
      <c r="G585" s="18">
        <f>VLOOKUP(B585,'CPF Table'!$A$13:$E$23,3,TRUE)*F585</f>
        <v>0</v>
      </c>
      <c r="H585" s="18">
        <f>VLOOKUP(B585,'CPF Table'!$A$13:$E$23,4,TRUE)*CPF!F585</f>
        <v>0</v>
      </c>
      <c r="I585" s="18">
        <f>VLOOKUP(B585,'CPF Table'!$A$13:$E$23,5,TRUE)*CPF!F585</f>
        <v>0</v>
      </c>
      <c r="J585" s="103">
        <f t="shared" si="16"/>
        <v>0</v>
      </c>
    </row>
    <row r="586" spans="3:10">
      <c r="C586" s="126">
        <v>0</v>
      </c>
      <c r="D586" s="127">
        <v>0</v>
      </c>
      <c r="E586" s="82">
        <f t="shared" si="17"/>
        <v>0</v>
      </c>
      <c r="F586" s="18">
        <f>IF(VLOOKUP(B586,'CPF Table'!$A$4:$G$8,5,TRUE)*CPF!C586&gt;=VLOOKUP(B586,'CPF Table'!$A$4:$G$8,6,TRUE),VLOOKUP(B586,'CPF Table'!$A$4:$G$8,5,TRUE)*C586+VLOOKUP(B586,'CPF Table'!$A$4:$G$8,5,TRUE)*CPF!D586,VLOOKUP(B586,'CPF Table'!$A$4:$G$8,5,TRUE)*CPF!C586+VLOOKUP(B586,'CPF Table'!$A$4:$G$8,5,TRUE)*CPF!D586)</f>
        <v>0</v>
      </c>
      <c r="G586" s="18">
        <f>VLOOKUP(B586,'CPF Table'!$A$13:$E$23,3,TRUE)*F586</f>
        <v>0</v>
      </c>
      <c r="H586" s="18">
        <f>VLOOKUP(B586,'CPF Table'!$A$13:$E$23,4,TRUE)*CPF!F586</f>
        <v>0</v>
      </c>
      <c r="I586" s="18">
        <f>VLOOKUP(B586,'CPF Table'!$A$13:$E$23,5,TRUE)*CPF!F586</f>
        <v>0</v>
      </c>
      <c r="J586" s="103">
        <f t="shared" si="16"/>
        <v>0</v>
      </c>
    </row>
    <row r="587" spans="3:10">
      <c r="C587" s="126">
        <v>0</v>
      </c>
      <c r="D587" s="127">
        <v>0</v>
      </c>
      <c r="E587" s="82">
        <f t="shared" si="17"/>
        <v>0</v>
      </c>
      <c r="F587" s="18">
        <f>IF(VLOOKUP(B587,'CPF Table'!$A$4:$G$8,5,TRUE)*CPF!C587&gt;=VLOOKUP(B587,'CPF Table'!$A$4:$G$8,6,TRUE),VLOOKUP(B587,'CPF Table'!$A$4:$G$8,5,TRUE)*C587+VLOOKUP(B587,'CPF Table'!$A$4:$G$8,5,TRUE)*CPF!D587,VLOOKUP(B587,'CPF Table'!$A$4:$G$8,5,TRUE)*CPF!C587+VLOOKUP(B587,'CPF Table'!$A$4:$G$8,5,TRUE)*CPF!D587)</f>
        <v>0</v>
      </c>
      <c r="G587" s="18">
        <f>VLOOKUP(B587,'CPF Table'!$A$13:$E$23,3,TRUE)*F587</f>
        <v>0</v>
      </c>
      <c r="H587" s="18">
        <f>VLOOKUP(B587,'CPF Table'!$A$13:$E$23,4,TRUE)*CPF!F587</f>
        <v>0</v>
      </c>
      <c r="I587" s="18">
        <f>VLOOKUP(B587,'CPF Table'!$A$13:$E$23,5,TRUE)*CPF!F587</f>
        <v>0</v>
      </c>
      <c r="J587" s="103">
        <f t="shared" si="16"/>
        <v>0</v>
      </c>
    </row>
    <row r="588" spans="3:10">
      <c r="C588" s="126">
        <v>0</v>
      </c>
      <c r="D588" s="127">
        <v>0</v>
      </c>
      <c r="E588" s="82">
        <f t="shared" si="17"/>
        <v>0</v>
      </c>
      <c r="F588" s="18">
        <f>IF(VLOOKUP(B588,'CPF Table'!$A$4:$G$8,5,TRUE)*CPF!C588&gt;=VLOOKUP(B588,'CPF Table'!$A$4:$G$8,6,TRUE),VLOOKUP(B588,'CPF Table'!$A$4:$G$8,5,TRUE)*C588+VLOOKUP(B588,'CPF Table'!$A$4:$G$8,5,TRUE)*CPF!D588,VLOOKUP(B588,'CPF Table'!$A$4:$G$8,5,TRUE)*CPF!C588+VLOOKUP(B588,'CPF Table'!$A$4:$G$8,5,TRUE)*CPF!D588)</f>
        <v>0</v>
      </c>
      <c r="G588" s="18">
        <f>VLOOKUP(B588,'CPF Table'!$A$13:$E$23,3,TRUE)*F588</f>
        <v>0</v>
      </c>
      <c r="H588" s="18">
        <f>VLOOKUP(B588,'CPF Table'!$A$13:$E$23,4,TRUE)*CPF!F588</f>
        <v>0</v>
      </c>
      <c r="I588" s="18">
        <f>VLOOKUP(B588,'CPF Table'!$A$13:$E$23,5,TRUE)*CPF!F588</f>
        <v>0</v>
      </c>
      <c r="J588" s="103">
        <f t="shared" si="16"/>
        <v>0</v>
      </c>
    </row>
    <row r="589" spans="3:10">
      <c r="C589" s="126">
        <v>0</v>
      </c>
      <c r="D589" s="127">
        <v>0</v>
      </c>
      <c r="E589" s="82">
        <f t="shared" si="17"/>
        <v>0</v>
      </c>
      <c r="F589" s="18">
        <f>IF(VLOOKUP(B589,'CPF Table'!$A$4:$G$8,5,TRUE)*CPF!C589&gt;=VLOOKUP(B589,'CPF Table'!$A$4:$G$8,6,TRUE),VLOOKUP(B589,'CPF Table'!$A$4:$G$8,5,TRUE)*C589+VLOOKUP(B589,'CPF Table'!$A$4:$G$8,5,TRUE)*CPF!D589,VLOOKUP(B589,'CPF Table'!$A$4:$G$8,5,TRUE)*CPF!C589+VLOOKUP(B589,'CPF Table'!$A$4:$G$8,5,TRUE)*CPF!D589)</f>
        <v>0</v>
      </c>
      <c r="G589" s="18">
        <f>VLOOKUP(B589,'CPF Table'!$A$13:$E$23,3,TRUE)*F589</f>
        <v>0</v>
      </c>
      <c r="H589" s="18">
        <f>VLOOKUP(B589,'CPF Table'!$A$13:$E$23,4,TRUE)*CPF!F589</f>
        <v>0</v>
      </c>
      <c r="I589" s="18">
        <f>VLOOKUP(B589,'CPF Table'!$A$13:$E$23,5,TRUE)*CPF!F589</f>
        <v>0</v>
      </c>
      <c r="J589" s="103">
        <f t="shared" si="16"/>
        <v>0</v>
      </c>
    </row>
    <row r="590" spans="3:10">
      <c r="C590" s="126">
        <v>0</v>
      </c>
      <c r="D590" s="127">
        <v>0</v>
      </c>
      <c r="E590" s="82">
        <f t="shared" si="17"/>
        <v>0</v>
      </c>
      <c r="F590" s="18">
        <f>IF(VLOOKUP(B590,'CPF Table'!$A$4:$G$8,5,TRUE)*CPF!C590&gt;=VLOOKUP(B590,'CPF Table'!$A$4:$G$8,6,TRUE),VLOOKUP(B590,'CPF Table'!$A$4:$G$8,5,TRUE)*C590+VLOOKUP(B590,'CPF Table'!$A$4:$G$8,5,TRUE)*CPF!D590,VLOOKUP(B590,'CPF Table'!$A$4:$G$8,5,TRUE)*CPF!C590+VLOOKUP(B590,'CPF Table'!$A$4:$G$8,5,TRUE)*CPF!D590)</f>
        <v>0</v>
      </c>
      <c r="G590" s="18">
        <f>VLOOKUP(B590,'CPF Table'!$A$13:$E$23,3,TRUE)*F590</f>
        <v>0</v>
      </c>
      <c r="H590" s="18">
        <f>VLOOKUP(B590,'CPF Table'!$A$13:$E$23,4,TRUE)*CPF!F590</f>
        <v>0</v>
      </c>
      <c r="I590" s="18">
        <f>VLOOKUP(B590,'CPF Table'!$A$13:$E$23,5,TRUE)*CPF!F590</f>
        <v>0</v>
      </c>
      <c r="J590" s="103">
        <f t="shared" ref="J590:J609" si="18">E590-F590</f>
        <v>0</v>
      </c>
    </row>
    <row r="591" spans="3:10">
      <c r="C591" s="126">
        <v>0</v>
      </c>
      <c r="D591" s="127">
        <v>0</v>
      </c>
      <c r="E591" s="82">
        <f t="shared" ref="E591:E609" si="19">C591+D591</f>
        <v>0</v>
      </c>
      <c r="F591" s="18">
        <f>IF(VLOOKUP(B591,'CPF Table'!$A$4:$G$8,5,TRUE)*CPF!C591&gt;=VLOOKUP(B591,'CPF Table'!$A$4:$G$8,6,TRUE),VLOOKUP(B591,'CPF Table'!$A$4:$G$8,5,TRUE)*C591+VLOOKUP(B591,'CPF Table'!$A$4:$G$8,5,TRUE)*CPF!D591,VLOOKUP(B591,'CPF Table'!$A$4:$G$8,5,TRUE)*CPF!C591+VLOOKUP(B591,'CPF Table'!$A$4:$G$8,5,TRUE)*CPF!D591)</f>
        <v>0</v>
      </c>
      <c r="G591" s="18">
        <f>VLOOKUP(B591,'CPF Table'!$A$13:$E$23,3,TRUE)*F591</f>
        <v>0</v>
      </c>
      <c r="H591" s="18">
        <f>VLOOKUP(B591,'CPF Table'!$A$13:$E$23,4,TRUE)*CPF!F591</f>
        <v>0</v>
      </c>
      <c r="I591" s="18">
        <f>VLOOKUP(B591,'CPF Table'!$A$13:$E$23,5,TRUE)*CPF!F591</f>
        <v>0</v>
      </c>
      <c r="J591" s="103">
        <f t="shared" si="18"/>
        <v>0</v>
      </c>
    </row>
    <row r="592" spans="3:10">
      <c r="C592" s="126">
        <v>0</v>
      </c>
      <c r="D592" s="127">
        <v>0</v>
      </c>
      <c r="E592" s="82">
        <f t="shared" si="19"/>
        <v>0</v>
      </c>
      <c r="F592" s="18">
        <f>IF(VLOOKUP(B592,'CPF Table'!$A$4:$G$8,5,TRUE)*CPF!C592&gt;=VLOOKUP(B592,'CPF Table'!$A$4:$G$8,6,TRUE),VLOOKUP(B592,'CPF Table'!$A$4:$G$8,5,TRUE)*C592+VLOOKUP(B592,'CPF Table'!$A$4:$G$8,5,TRUE)*CPF!D592,VLOOKUP(B592,'CPF Table'!$A$4:$G$8,5,TRUE)*CPF!C592+VLOOKUP(B592,'CPF Table'!$A$4:$G$8,5,TRUE)*CPF!D592)</f>
        <v>0</v>
      </c>
      <c r="G592" s="18">
        <f>VLOOKUP(B592,'CPF Table'!$A$13:$E$23,3,TRUE)*F592</f>
        <v>0</v>
      </c>
      <c r="H592" s="18">
        <f>VLOOKUP(B592,'CPF Table'!$A$13:$E$23,4,TRUE)*CPF!F592</f>
        <v>0</v>
      </c>
      <c r="I592" s="18">
        <f>VLOOKUP(B592,'CPF Table'!$A$13:$E$23,5,TRUE)*CPF!F592</f>
        <v>0</v>
      </c>
      <c r="J592" s="103">
        <f t="shared" si="18"/>
        <v>0</v>
      </c>
    </row>
    <row r="593" spans="3:10">
      <c r="C593" s="126">
        <v>0</v>
      </c>
      <c r="D593" s="127">
        <v>0</v>
      </c>
      <c r="E593" s="82">
        <f t="shared" si="19"/>
        <v>0</v>
      </c>
      <c r="F593" s="18">
        <f>IF(VLOOKUP(B593,'CPF Table'!$A$4:$G$8,5,TRUE)*CPF!C593&gt;=VLOOKUP(B593,'CPF Table'!$A$4:$G$8,6,TRUE),VLOOKUP(B593,'CPF Table'!$A$4:$G$8,5,TRUE)*C593+VLOOKUP(B593,'CPF Table'!$A$4:$G$8,5,TRUE)*CPF!D593,VLOOKUP(B593,'CPF Table'!$A$4:$G$8,5,TRUE)*CPF!C593+VLOOKUP(B593,'CPF Table'!$A$4:$G$8,5,TRUE)*CPF!D593)</f>
        <v>0</v>
      </c>
      <c r="G593" s="18">
        <f>VLOOKUP(B593,'CPF Table'!$A$13:$E$23,3,TRUE)*F593</f>
        <v>0</v>
      </c>
      <c r="H593" s="18">
        <f>VLOOKUP(B593,'CPF Table'!$A$13:$E$23,4,TRUE)*CPF!F593</f>
        <v>0</v>
      </c>
      <c r="I593" s="18">
        <f>VLOOKUP(B593,'CPF Table'!$A$13:$E$23,5,TRUE)*CPF!F593</f>
        <v>0</v>
      </c>
      <c r="J593" s="103">
        <f t="shared" si="18"/>
        <v>0</v>
      </c>
    </row>
    <row r="594" spans="3:10">
      <c r="C594" s="126">
        <v>0</v>
      </c>
      <c r="D594" s="127">
        <v>0</v>
      </c>
      <c r="E594" s="82">
        <f t="shared" si="19"/>
        <v>0</v>
      </c>
      <c r="F594" s="18">
        <f>IF(VLOOKUP(B594,'CPF Table'!$A$4:$G$8,5,TRUE)*CPF!C594&gt;=VLOOKUP(B594,'CPF Table'!$A$4:$G$8,6,TRUE),VLOOKUP(B594,'CPF Table'!$A$4:$G$8,5,TRUE)*C594+VLOOKUP(B594,'CPF Table'!$A$4:$G$8,5,TRUE)*CPF!D594,VLOOKUP(B594,'CPF Table'!$A$4:$G$8,5,TRUE)*CPF!C594+VLOOKUP(B594,'CPF Table'!$A$4:$G$8,5,TRUE)*CPF!D594)</f>
        <v>0</v>
      </c>
      <c r="G594" s="18">
        <f>VLOOKUP(B594,'CPF Table'!$A$13:$E$23,3,TRUE)*F594</f>
        <v>0</v>
      </c>
      <c r="H594" s="18">
        <f>VLOOKUP(B594,'CPF Table'!$A$13:$E$23,4,TRUE)*CPF!F594</f>
        <v>0</v>
      </c>
      <c r="I594" s="18">
        <f>VLOOKUP(B594,'CPF Table'!$A$13:$E$23,5,TRUE)*CPF!F594</f>
        <v>0</v>
      </c>
      <c r="J594" s="103">
        <f t="shared" si="18"/>
        <v>0</v>
      </c>
    </row>
    <row r="595" spans="3:10">
      <c r="C595" s="126">
        <v>0</v>
      </c>
      <c r="D595" s="127">
        <v>0</v>
      </c>
      <c r="E595" s="82">
        <f t="shared" si="19"/>
        <v>0</v>
      </c>
      <c r="F595" s="18">
        <f>IF(VLOOKUP(B595,'CPF Table'!$A$4:$G$8,5,TRUE)*CPF!C595&gt;=VLOOKUP(B595,'CPF Table'!$A$4:$G$8,6,TRUE),VLOOKUP(B595,'CPF Table'!$A$4:$G$8,5,TRUE)*C595+VLOOKUP(B595,'CPF Table'!$A$4:$G$8,5,TRUE)*CPF!D595,VLOOKUP(B595,'CPF Table'!$A$4:$G$8,5,TRUE)*CPF!C595+VLOOKUP(B595,'CPF Table'!$A$4:$G$8,5,TRUE)*CPF!D595)</f>
        <v>0</v>
      </c>
      <c r="G595" s="18">
        <f>VLOOKUP(B595,'CPF Table'!$A$13:$E$23,3,TRUE)*F595</f>
        <v>0</v>
      </c>
      <c r="H595" s="18">
        <f>VLOOKUP(B595,'CPF Table'!$A$13:$E$23,4,TRUE)*CPF!F595</f>
        <v>0</v>
      </c>
      <c r="I595" s="18">
        <f>VLOOKUP(B595,'CPF Table'!$A$13:$E$23,5,TRUE)*CPF!F595</f>
        <v>0</v>
      </c>
      <c r="J595" s="103">
        <f t="shared" si="18"/>
        <v>0</v>
      </c>
    </row>
    <row r="596" spans="3:10">
      <c r="C596" s="126">
        <v>0</v>
      </c>
      <c r="D596" s="127">
        <v>0</v>
      </c>
      <c r="E596" s="82">
        <f t="shared" si="19"/>
        <v>0</v>
      </c>
      <c r="F596" s="18">
        <f>IF(VLOOKUP(B596,'CPF Table'!$A$4:$G$8,5,TRUE)*CPF!C596&gt;=VLOOKUP(B596,'CPF Table'!$A$4:$G$8,6,TRUE),VLOOKUP(B596,'CPF Table'!$A$4:$G$8,5,TRUE)*C596+VLOOKUP(B596,'CPF Table'!$A$4:$G$8,5,TRUE)*CPF!D596,VLOOKUP(B596,'CPF Table'!$A$4:$G$8,5,TRUE)*CPF!C596+VLOOKUP(B596,'CPF Table'!$A$4:$G$8,5,TRUE)*CPF!D596)</f>
        <v>0</v>
      </c>
      <c r="G596" s="18">
        <f>VLOOKUP(B596,'CPF Table'!$A$13:$E$23,3,TRUE)*F596</f>
        <v>0</v>
      </c>
      <c r="H596" s="18">
        <f>VLOOKUP(B596,'CPF Table'!$A$13:$E$23,4,TRUE)*CPF!F596</f>
        <v>0</v>
      </c>
      <c r="I596" s="18">
        <f>VLOOKUP(B596,'CPF Table'!$A$13:$E$23,5,TRUE)*CPF!F596</f>
        <v>0</v>
      </c>
      <c r="J596" s="103">
        <f t="shared" si="18"/>
        <v>0</v>
      </c>
    </row>
    <row r="597" spans="3:10">
      <c r="C597" s="126">
        <v>0</v>
      </c>
      <c r="D597" s="127">
        <v>0</v>
      </c>
      <c r="E597" s="82">
        <f t="shared" si="19"/>
        <v>0</v>
      </c>
      <c r="F597" s="18">
        <f>IF(VLOOKUP(B597,'CPF Table'!$A$4:$G$8,5,TRUE)*CPF!C597&gt;=VLOOKUP(B597,'CPF Table'!$A$4:$G$8,6,TRUE),VLOOKUP(B597,'CPF Table'!$A$4:$G$8,5,TRUE)*C597+VLOOKUP(B597,'CPF Table'!$A$4:$G$8,5,TRUE)*CPF!D597,VLOOKUP(B597,'CPF Table'!$A$4:$G$8,5,TRUE)*CPF!C597+VLOOKUP(B597,'CPF Table'!$A$4:$G$8,5,TRUE)*CPF!D597)</f>
        <v>0</v>
      </c>
      <c r="G597" s="18">
        <f>VLOOKUP(B597,'CPF Table'!$A$13:$E$23,3,TRUE)*F597</f>
        <v>0</v>
      </c>
      <c r="H597" s="18">
        <f>VLOOKUP(B597,'CPF Table'!$A$13:$E$23,4,TRUE)*CPF!F597</f>
        <v>0</v>
      </c>
      <c r="I597" s="18">
        <f>VLOOKUP(B597,'CPF Table'!$A$13:$E$23,5,TRUE)*CPF!F597</f>
        <v>0</v>
      </c>
      <c r="J597" s="103">
        <f t="shared" si="18"/>
        <v>0</v>
      </c>
    </row>
    <row r="598" spans="3:10">
      <c r="C598" s="126">
        <v>0</v>
      </c>
      <c r="D598" s="127">
        <v>0</v>
      </c>
      <c r="E598" s="82">
        <f t="shared" si="19"/>
        <v>0</v>
      </c>
      <c r="F598" s="18">
        <f>IF(VLOOKUP(B598,'CPF Table'!$A$4:$G$8,5,TRUE)*CPF!C598&gt;=VLOOKUP(B598,'CPF Table'!$A$4:$G$8,6,TRUE),VLOOKUP(B598,'CPF Table'!$A$4:$G$8,5,TRUE)*C598+VLOOKUP(B598,'CPF Table'!$A$4:$G$8,5,TRUE)*CPF!D598,VLOOKUP(B598,'CPF Table'!$A$4:$G$8,5,TRUE)*CPF!C598+VLOOKUP(B598,'CPF Table'!$A$4:$G$8,5,TRUE)*CPF!D598)</f>
        <v>0</v>
      </c>
      <c r="G598" s="18">
        <f>VLOOKUP(B598,'CPF Table'!$A$13:$E$23,3,TRUE)*F598</f>
        <v>0</v>
      </c>
      <c r="H598" s="18">
        <f>VLOOKUP(B598,'CPF Table'!$A$13:$E$23,4,TRUE)*CPF!F598</f>
        <v>0</v>
      </c>
      <c r="I598" s="18">
        <f>VLOOKUP(B598,'CPF Table'!$A$13:$E$23,5,TRUE)*CPF!F598</f>
        <v>0</v>
      </c>
      <c r="J598" s="103">
        <f t="shared" si="18"/>
        <v>0</v>
      </c>
    </row>
    <row r="599" spans="3:10">
      <c r="C599" s="126">
        <v>0</v>
      </c>
      <c r="D599" s="127">
        <v>0</v>
      </c>
      <c r="E599" s="82">
        <f t="shared" si="19"/>
        <v>0</v>
      </c>
      <c r="F599" s="18">
        <f>IF(VLOOKUP(B599,'CPF Table'!$A$4:$G$8,5,TRUE)*CPF!C599&gt;=VLOOKUP(B599,'CPF Table'!$A$4:$G$8,6,TRUE),VLOOKUP(B599,'CPF Table'!$A$4:$G$8,5,TRUE)*C599+VLOOKUP(B599,'CPF Table'!$A$4:$G$8,5,TRUE)*CPF!D599,VLOOKUP(B599,'CPF Table'!$A$4:$G$8,5,TRUE)*CPF!C599+VLOOKUP(B599,'CPF Table'!$A$4:$G$8,5,TRUE)*CPF!D599)</f>
        <v>0</v>
      </c>
      <c r="G599" s="18">
        <f>VLOOKUP(B599,'CPF Table'!$A$13:$E$23,3,TRUE)*F599</f>
        <v>0</v>
      </c>
      <c r="H599" s="18">
        <f>VLOOKUP(B599,'CPF Table'!$A$13:$E$23,4,TRUE)*CPF!F599</f>
        <v>0</v>
      </c>
      <c r="I599" s="18">
        <f>VLOOKUP(B599,'CPF Table'!$A$13:$E$23,5,TRUE)*CPF!F599</f>
        <v>0</v>
      </c>
      <c r="J599" s="103">
        <f t="shared" si="18"/>
        <v>0</v>
      </c>
    </row>
    <row r="600" spans="3:10">
      <c r="C600" s="126">
        <v>0</v>
      </c>
      <c r="D600" s="127">
        <v>0</v>
      </c>
      <c r="E600" s="82">
        <f t="shared" si="19"/>
        <v>0</v>
      </c>
      <c r="F600" s="18">
        <f>IF(VLOOKUP(B600,'CPF Table'!$A$4:$G$8,5,TRUE)*CPF!C600&gt;=VLOOKUP(B600,'CPF Table'!$A$4:$G$8,6,TRUE),VLOOKUP(B600,'CPF Table'!$A$4:$G$8,5,TRUE)*C600+VLOOKUP(B600,'CPF Table'!$A$4:$G$8,5,TRUE)*CPF!D600,VLOOKUP(B600,'CPF Table'!$A$4:$G$8,5,TRUE)*CPF!C600+VLOOKUP(B600,'CPF Table'!$A$4:$G$8,5,TRUE)*CPF!D600)</f>
        <v>0</v>
      </c>
      <c r="G600" s="18">
        <f>VLOOKUP(B600,'CPF Table'!$A$13:$E$23,3,TRUE)*F600</f>
        <v>0</v>
      </c>
      <c r="H600" s="18">
        <f>VLOOKUP(B600,'CPF Table'!$A$13:$E$23,4,TRUE)*CPF!F600</f>
        <v>0</v>
      </c>
      <c r="I600" s="18">
        <f>VLOOKUP(B600,'CPF Table'!$A$13:$E$23,5,TRUE)*CPF!F600</f>
        <v>0</v>
      </c>
      <c r="J600" s="103">
        <f t="shared" si="18"/>
        <v>0</v>
      </c>
    </row>
    <row r="601" spans="3:10">
      <c r="C601" s="126">
        <v>0</v>
      </c>
      <c r="D601" s="127">
        <v>0</v>
      </c>
      <c r="E601" s="82">
        <f t="shared" si="19"/>
        <v>0</v>
      </c>
      <c r="F601" s="18">
        <f>IF(VLOOKUP(B601,'CPF Table'!$A$4:$G$8,5,TRUE)*CPF!C601&gt;=VLOOKUP(B601,'CPF Table'!$A$4:$G$8,6,TRUE),VLOOKUP(B601,'CPF Table'!$A$4:$G$8,5,TRUE)*C601+VLOOKUP(B601,'CPF Table'!$A$4:$G$8,5,TRUE)*CPF!D601,VLOOKUP(B601,'CPF Table'!$A$4:$G$8,5,TRUE)*CPF!C601+VLOOKUP(B601,'CPF Table'!$A$4:$G$8,5,TRUE)*CPF!D601)</f>
        <v>0</v>
      </c>
      <c r="G601" s="18">
        <f>VLOOKUP(B601,'CPF Table'!$A$13:$E$23,3,TRUE)*F601</f>
        <v>0</v>
      </c>
      <c r="H601" s="18">
        <f>VLOOKUP(B601,'CPF Table'!$A$13:$E$23,4,TRUE)*CPF!F601</f>
        <v>0</v>
      </c>
      <c r="I601" s="18">
        <f>VLOOKUP(B601,'CPF Table'!$A$13:$E$23,5,TRUE)*CPF!F601</f>
        <v>0</v>
      </c>
      <c r="J601" s="103">
        <f t="shared" si="18"/>
        <v>0</v>
      </c>
    </row>
    <row r="602" spans="3:10">
      <c r="C602" s="126">
        <v>0</v>
      </c>
      <c r="D602" s="127">
        <v>0</v>
      </c>
      <c r="E602" s="82">
        <f t="shared" si="19"/>
        <v>0</v>
      </c>
      <c r="F602" s="18">
        <f>IF(VLOOKUP(B602,'CPF Table'!$A$4:$G$8,5,TRUE)*CPF!C602&gt;=VLOOKUP(B602,'CPF Table'!$A$4:$G$8,6,TRUE),VLOOKUP(B602,'CPF Table'!$A$4:$G$8,5,TRUE)*C602+VLOOKUP(B602,'CPF Table'!$A$4:$G$8,5,TRUE)*CPF!D602,VLOOKUP(B602,'CPF Table'!$A$4:$G$8,5,TRUE)*CPF!C602+VLOOKUP(B602,'CPF Table'!$A$4:$G$8,5,TRUE)*CPF!D602)</f>
        <v>0</v>
      </c>
      <c r="G602" s="18">
        <f>VLOOKUP(B602,'CPF Table'!$A$13:$E$23,3,TRUE)*F602</f>
        <v>0</v>
      </c>
      <c r="H602" s="18">
        <f>VLOOKUP(B602,'CPF Table'!$A$13:$E$23,4,TRUE)*CPF!F602</f>
        <v>0</v>
      </c>
      <c r="I602" s="18">
        <f>VLOOKUP(B602,'CPF Table'!$A$13:$E$23,5,TRUE)*CPF!F602</f>
        <v>0</v>
      </c>
      <c r="J602" s="103">
        <f t="shared" si="18"/>
        <v>0</v>
      </c>
    </row>
    <row r="603" spans="3:10">
      <c r="C603" s="126">
        <v>0</v>
      </c>
      <c r="D603" s="127">
        <v>0</v>
      </c>
      <c r="E603" s="82">
        <f t="shared" si="19"/>
        <v>0</v>
      </c>
      <c r="F603" s="18">
        <f>IF(VLOOKUP(B603,'CPF Table'!$A$4:$G$8,5,TRUE)*CPF!C603&gt;=VLOOKUP(B603,'CPF Table'!$A$4:$G$8,6,TRUE),VLOOKUP(B603,'CPF Table'!$A$4:$G$8,5,TRUE)*C603+VLOOKUP(B603,'CPF Table'!$A$4:$G$8,5,TRUE)*CPF!D603,VLOOKUP(B603,'CPF Table'!$A$4:$G$8,5,TRUE)*CPF!C603+VLOOKUP(B603,'CPF Table'!$A$4:$G$8,5,TRUE)*CPF!D603)</f>
        <v>0</v>
      </c>
      <c r="G603" s="18">
        <f>VLOOKUP(B603,'CPF Table'!$A$13:$E$23,3,TRUE)*F603</f>
        <v>0</v>
      </c>
      <c r="H603" s="18">
        <f>VLOOKUP(B603,'CPF Table'!$A$13:$E$23,4,TRUE)*CPF!F603</f>
        <v>0</v>
      </c>
      <c r="I603" s="18">
        <f>VLOOKUP(B603,'CPF Table'!$A$13:$E$23,5,TRUE)*CPF!F603</f>
        <v>0</v>
      </c>
      <c r="J603" s="103">
        <f t="shared" si="18"/>
        <v>0</v>
      </c>
    </row>
    <row r="604" spans="3:10">
      <c r="C604" s="126">
        <v>0</v>
      </c>
      <c r="D604" s="127">
        <v>0</v>
      </c>
      <c r="E604" s="82">
        <f t="shared" si="19"/>
        <v>0</v>
      </c>
      <c r="F604" s="18">
        <f>IF(VLOOKUP(B604,'CPF Table'!$A$4:$G$8,5,TRUE)*CPF!C604&gt;=VLOOKUP(B604,'CPF Table'!$A$4:$G$8,6,TRUE),VLOOKUP(B604,'CPF Table'!$A$4:$G$8,5,TRUE)*C604+VLOOKUP(B604,'CPF Table'!$A$4:$G$8,5,TRUE)*CPF!D604,VLOOKUP(B604,'CPF Table'!$A$4:$G$8,5,TRUE)*CPF!C604+VLOOKUP(B604,'CPF Table'!$A$4:$G$8,5,TRUE)*CPF!D604)</f>
        <v>0</v>
      </c>
      <c r="G604" s="18">
        <f>VLOOKUP(B604,'CPF Table'!$A$13:$E$23,3,TRUE)*F604</f>
        <v>0</v>
      </c>
      <c r="H604" s="18">
        <f>VLOOKUP(B604,'CPF Table'!$A$13:$E$23,4,TRUE)*CPF!F604</f>
        <v>0</v>
      </c>
      <c r="I604" s="18">
        <f>VLOOKUP(B604,'CPF Table'!$A$13:$E$23,5,TRUE)*CPF!F604</f>
        <v>0</v>
      </c>
      <c r="J604" s="103">
        <f t="shared" si="18"/>
        <v>0</v>
      </c>
    </row>
    <row r="605" spans="3:10">
      <c r="C605" s="126">
        <v>0</v>
      </c>
      <c r="D605" s="127">
        <v>0</v>
      </c>
      <c r="E605" s="82">
        <f t="shared" si="19"/>
        <v>0</v>
      </c>
      <c r="F605" s="18">
        <f>IF(VLOOKUP(B605,'CPF Table'!$A$4:$G$8,5,TRUE)*CPF!C605&gt;=VLOOKUP(B605,'CPF Table'!$A$4:$G$8,6,TRUE),VLOOKUP(B605,'CPF Table'!$A$4:$G$8,5,TRUE)*C605+VLOOKUP(B605,'CPF Table'!$A$4:$G$8,5,TRUE)*CPF!D605,VLOOKUP(B605,'CPF Table'!$A$4:$G$8,5,TRUE)*CPF!C605+VLOOKUP(B605,'CPF Table'!$A$4:$G$8,5,TRUE)*CPF!D605)</f>
        <v>0</v>
      </c>
      <c r="G605" s="18">
        <f>VLOOKUP(B605,'CPF Table'!$A$13:$E$23,3,TRUE)*F605</f>
        <v>0</v>
      </c>
      <c r="H605" s="18">
        <f>VLOOKUP(B605,'CPF Table'!$A$13:$E$23,4,TRUE)*CPF!F605</f>
        <v>0</v>
      </c>
      <c r="I605" s="18">
        <f>VLOOKUP(B605,'CPF Table'!$A$13:$E$23,5,TRUE)*CPF!F605</f>
        <v>0</v>
      </c>
      <c r="J605" s="103">
        <f t="shared" si="18"/>
        <v>0</v>
      </c>
    </row>
    <row r="606" spans="3:10">
      <c r="C606" s="126">
        <v>0</v>
      </c>
      <c r="D606" s="127">
        <v>0</v>
      </c>
      <c r="E606" s="82">
        <f t="shared" si="19"/>
        <v>0</v>
      </c>
      <c r="F606" s="18">
        <f>IF(VLOOKUP(B606,'CPF Table'!$A$4:$G$8,5,TRUE)*CPF!C606&gt;=VLOOKUP(B606,'CPF Table'!$A$4:$G$8,6,TRUE),VLOOKUP(B606,'CPF Table'!$A$4:$G$8,5,TRUE)*C606+VLOOKUP(B606,'CPF Table'!$A$4:$G$8,5,TRUE)*CPF!D606,VLOOKUP(B606,'CPF Table'!$A$4:$G$8,5,TRUE)*CPF!C606+VLOOKUP(B606,'CPF Table'!$A$4:$G$8,5,TRUE)*CPF!D606)</f>
        <v>0</v>
      </c>
      <c r="G606" s="18">
        <f>VLOOKUP(B606,'CPF Table'!$A$13:$E$23,3,TRUE)*F606</f>
        <v>0</v>
      </c>
      <c r="H606" s="18">
        <f>VLOOKUP(B606,'CPF Table'!$A$13:$E$23,4,TRUE)*CPF!F606</f>
        <v>0</v>
      </c>
      <c r="I606" s="18">
        <f>VLOOKUP(B606,'CPF Table'!$A$13:$E$23,5,TRUE)*CPF!F606</f>
        <v>0</v>
      </c>
      <c r="J606" s="103">
        <f t="shared" si="18"/>
        <v>0</v>
      </c>
    </row>
    <row r="607" spans="3:10">
      <c r="C607" s="126">
        <v>0</v>
      </c>
      <c r="D607" s="127">
        <v>0</v>
      </c>
      <c r="E607" s="82">
        <f t="shared" si="19"/>
        <v>0</v>
      </c>
      <c r="F607" s="18">
        <f>IF(VLOOKUP(B607,'CPF Table'!$A$4:$G$8,5,TRUE)*CPF!C607&gt;=VLOOKUP(B607,'CPF Table'!$A$4:$G$8,6,TRUE),VLOOKUP(B607,'CPF Table'!$A$4:$G$8,5,TRUE)*C607+VLOOKUP(B607,'CPF Table'!$A$4:$G$8,5,TRUE)*CPF!D607,VLOOKUP(B607,'CPF Table'!$A$4:$G$8,5,TRUE)*CPF!C607+VLOOKUP(B607,'CPF Table'!$A$4:$G$8,5,TRUE)*CPF!D607)</f>
        <v>0</v>
      </c>
      <c r="G607" s="18">
        <f>VLOOKUP(B607,'CPF Table'!$A$13:$E$23,3,TRUE)*F607</f>
        <v>0</v>
      </c>
      <c r="H607" s="18">
        <f>VLOOKUP(B607,'CPF Table'!$A$13:$E$23,4,TRUE)*CPF!F607</f>
        <v>0</v>
      </c>
      <c r="I607" s="18">
        <f>VLOOKUP(B607,'CPF Table'!$A$13:$E$23,5,TRUE)*CPF!F607</f>
        <v>0</v>
      </c>
      <c r="J607" s="103">
        <f t="shared" si="18"/>
        <v>0</v>
      </c>
    </row>
    <row r="608" spans="3:10">
      <c r="C608" s="126">
        <v>0</v>
      </c>
      <c r="D608" s="127">
        <v>0</v>
      </c>
      <c r="E608" s="82">
        <f t="shared" si="19"/>
        <v>0</v>
      </c>
      <c r="F608" s="18">
        <f>IF(VLOOKUP(B608,'CPF Table'!$A$4:$G$8,5,TRUE)*CPF!C608&gt;=VLOOKUP(B608,'CPF Table'!$A$4:$G$8,6,TRUE),VLOOKUP(B608,'CPF Table'!$A$4:$G$8,5,TRUE)*C608+VLOOKUP(B608,'CPF Table'!$A$4:$G$8,5,TRUE)*CPF!D608,VLOOKUP(B608,'CPF Table'!$A$4:$G$8,5,TRUE)*CPF!C608+VLOOKUP(B608,'CPF Table'!$A$4:$G$8,5,TRUE)*CPF!D608)</f>
        <v>0</v>
      </c>
      <c r="G608" s="18">
        <f>VLOOKUP(B608,'CPF Table'!$A$13:$E$23,3,TRUE)*F608</f>
        <v>0</v>
      </c>
      <c r="H608" s="18">
        <f>VLOOKUP(B608,'CPF Table'!$A$13:$E$23,4,TRUE)*CPF!F608</f>
        <v>0</v>
      </c>
      <c r="I608" s="18">
        <f>VLOOKUP(B608,'CPF Table'!$A$13:$E$23,5,TRUE)*CPF!F608</f>
        <v>0</v>
      </c>
      <c r="J608" s="103">
        <f t="shared" si="18"/>
        <v>0</v>
      </c>
    </row>
    <row r="609" spans="3:10">
      <c r="C609" s="126">
        <v>0</v>
      </c>
      <c r="D609" s="127">
        <v>0</v>
      </c>
      <c r="E609" s="82">
        <f t="shared" si="19"/>
        <v>0</v>
      </c>
      <c r="F609" s="18">
        <f>IF(VLOOKUP(B609,'CPF Table'!$A$4:$G$8,5,TRUE)*CPF!C609&gt;=VLOOKUP(B609,'CPF Table'!$A$4:$G$8,6,TRUE),VLOOKUP(B609,'CPF Table'!$A$4:$G$8,5,TRUE)*C609+VLOOKUP(B609,'CPF Table'!$A$4:$G$8,5,TRUE)*CPF!D609,VLOOKUP(B609,'CPF Table'!$A$4:$G$8,5,TRUE)*CPF!C609+VLOOKUP(B609,'CPF Table'!$A$4:$G$8,5,TRUE)*CPF!D609)</f>
        <v>0</v>
      </c>
      <c r="G609" s="18">
        <f>VLOOKUP(B609,'CPF Table'!$A$13:$E$23,3,TRUE)*F609</f>
        <v>0</v>
      </c>
      <c r="H609" s="18">
        <f>VLOOKUP(B609,'CPF Table'!$A$13:$E$23,4,TRUE)*CPF!F609</f>
        <v>0</v>
      </c>
      <c r="I609" s="18">
        <f>VLOOKUP(B609,'CPF Table'!$A$13:$E$23,5,TRUE)*CPF!F609</f>
        <v>0</v>
      </c>
      <c r="J609" s="103">
        <f t="shared" si="18"/>
        <v>0</v>
      </c>
    </row>
  </sheetData>
  <sheetProtection sheet="1" objects="1" scenarios="1"/>
  <mergeCells count="6">
    <mergeCell ref="A1:I2"/>
    <mergeCell ref="Q4:S4"/>
    <mergeCell ref="E6:G6"/>
    <mergeCell ref="E7:G7"/>
    <mergeCell ref="E8:G8"/>
    <mergeCell ref="E5:G5"/>
  </mergeCells>
  <phoneticPr fontId="25" type="noConversion"/>
  <dataValidations count="5">
    <dataValidation type="whole" allowBlank="1" showInputMessage="1" showErrorMessage="1" errorTitle="Invalid Input" error="Cannot enter negative value of less than 0." promptTitle="Base Salary" prompt="Enter Base Salary" sqref="C13" xr:uid="{482F1220-62AB-4116-A957-572F91939DCC}">
      <formula1>0</formula1>
      <formula2>2147483647</formula2>
    </dataValidation>
    <dataValidation type="whole" allowBlank="1" showInputMessage="1" showErrorMessage="1" errorTitle="Invalid Input" error="The amount must be postive number and up to maxium of $30,000." promptTitle="Additional Wage" prompt="Enter additional wage_x000a_Eg 145.20" sqref="D14:D1048576" xr:uid="{47DD9D6A-279F-4C70-91EC-6677826966AB}">
      <formula1>0</formula1>
      <formula2>30000</formula2>
    </dataValidation>
    <dataValidation type="date" allowBlank="1" showInputMessage="1" showErrorMessage="1" errorTitle="Invalid Input" error="The Date that you entered is an invalid input. It must be e.g. 01/01/2022 so please try again." promptTitle="Date" prompt="Enter the date when you received your wage." sqref="A14:A1048576" xr:uid="{28F73F36-861E-4F51-8D91-1C75458DCFDE}">
      <formula1>44562</formula1>
      <formula2>63889</formula2>
    </dataValidation>
    <dataValidation type="whole" allowBlank="1" showInputMessage="1" showErrorMessage="1" errorTitle="Invalid Input " error="The age number must be postive number only." promptTitle="Age" prompt="Enter your age." sqref="B14:B1048576" xr:uid="{8A7F5DFE-F93F-45EA-98E8-FF72B1F31D31}">
      <formula1>0</formula1>
      <formula2>100</formula2>
    </dataValidation>
    <dataValidation type="decimal" allowBlank="1" showInputMessage="1" showErrorMessage="1" errorTitle="Invalid Input" error="The amount must be less than $6,000 and cannot be negative number of less than 0." promptTitle="Base Salary" prompt="Enter Base Salary_x000a_E.g. 145.20" sqref="A13:B13 F13:I13 D13 C14:C1048576" xr:uid="{70D45BF0-4273-48F0-B6D3-DE2B9EC70DEA}">
      <formula1>0</formula1>
      <formula2>6000</formula2>
    </dataValidation>
  </dataValidations>
  <hyperlinks>
    <hyperlink ref="E8" r:id="rId1" xr:uid="{1A47C447-2356-41C3-9AD4-91D76E0459B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45065-B75A-4E84-BA4E-E26A7FDD5CF9}">
  <sheetPr codeName="Sheet1"/>
  <dimension ref="A1:L20"/>
  <sheetViews>
    <sheetView showGridLines="0" zoomScaleNormal="100" workbookViewId="0">
      <selection activeCell="A2" sqref="A2"/>
    </sheetView>
  </sheetViews>
  <sheetFormatPr defaultRowHeight="15"/>
  <cols>
    <col min="1" max="2" width="12.42578125" customWidth="1"/>
    <col min="3" max="3" width="18.5703125" customWidth="1"/>
    <col min="4" max="4" width="21.42578125" customWidth="1"/>
    <col min="5" max="5" width="13" style="3" customWidth="1"/>
    <col min="6" max="6" width="15.5703125" customWidth="1"/>
    <col min="7" max="7" width="22" customWidth="1"/>
    <col min="8" max="8" width="16.5703125" customWidth="1"/>
    <col min="9" max="9" width="15.5703125" customWidth="1"/>
    <col min="10" max="10" width="11.5703125" customWidth="1"/>
    <col min="11" max="11" width="19.42578125" customWidth="1"/>
    <col min="12" max="12" width="14.42578125" customWidth="1"/>
  </cols>
  <sheetData>
    <row r="1" spans="1:12">
      <c r="A1" s="2" t="s">
        <v>2</v>
      </c>
      <c r="B1" s="1" t="s">
        <v>85</v>
      </c>
      <c r="C1" s="1" t="s">
        <v>94</v>
      </c>
      <c r="D1" s="1" t="s">
        <v>95</v>
      </c>
      <c r="E1" s="1" t="s">
        <v>96</v>
      </c>
      <c r="F1" s="1" t="s">
        <v>97</v>
      </c>
      <c r="G1" s="1" t="s">
        <v>98</v>
      </c>
      <c r="H1" s="1" t="s">
        <v>99</v>
      </c>
      <c r="I1" s="1" t="s">
        <v>100</v>
      </c>
      <c r="J1" s="2" t="s">
        <v>101</v>
      </c>
      <c r="K1" s="1" t="s">
        <v>53</v>
      </c>
      <c r="L1" s="1" t="s">
        <v>102</v>
      </c>
    </row>
    <row r="2" spans="1:12" ht="15.75" customHeight="1">
      <c r="A2" s="84">
        <v>44562</v>
      </c>
      <c r="B2" s="85">
        <f>Dashboard!$F$6</f>
        <v>21</v>
      </c>
      <c r="C2" s="5">
        <v>2000000</v>
      </c>
      <c r="D2" s="5">
        <f>_Database!E18</f>
        <v>3500</v>
      </c>
      <c r="E2" s="6">
        <f>IF(VLOOKUP(B2,'CPF Table'!$A$4:$G$9,5,TRUE) * D2 &gt;= VLOOKUP(B2,'CPF Table'!$A$4:$G$8,6,TRUE),VLOOKUP(B2,'CPF Table'!$A$4:$G$8,6,TRUE),VLOOKUP(B2,'CPF Table'!$A$4:$G$8,5,TRUE) * D2)</f>
        <v>1295</v>
      </c>
      <c r="F2" s="5">
        <f>D2-E2</f>
        <v>2205</v>
      </c>
      <c r="G2" s="5">
        <f>SUMIFS(Ledger[Transaction Amount],Ledger[Date],"&gt;="&amp;A2,Ledger[Date],"&lt;="&amp;EOMONTH(A2,0))</f>
        <v>21890</v>
      </c>
      <c r="H2" s="5">
        <f>SUMIFS(Liability[Amount],Liability[Date],"&gt;="&amp;A2,Liability[Date],"&lt;="&amp;EOMONTH(A2,0),Liability[Paid(Y/N)],"Y")</f>
        <v>14</v>
      </c>
      <c r="I2" s="5">
        <v>200</v>
      </c>
      <c r="J2" s="4">
        <v>1000</v>
      </c>
      <c r="K2" s="5">
        <f>SUM(SUMIFS(Table4[Amount],Table4[Frequency],"Monthly"), SUMIFS(Table4[Amount],Table4[Date],"&gt;="&amp;A2,Table4[Date],"&lt;="&amp;DATE(YEAR(A2),12,31),Table4[Frequency],"Annually",Table4[Date],"&gt;="&amp;A2,Table4[Date],"&lt;="&amp;EOMONTH(A2,0)))</f>
        <v>1332</v>
      </c>
      <c r="L2" s="5">
        <f>(I2+F2)-(J2+H2+G2+K2)</f>
        <v>-21831</v>
      </c>
    </row>
    <row r="3" spans="1:12">
      <c r="A3" s="84">
        <v>44593</v>
      </c>
      <c r="B3" s="85">
        <f>Dashboard!$F$6</f>
        <v>21</v>
      </c>
      <c r="C3" s="5">
        <f t="shared" ref="C3:C13" si="0">C2+L3</f>
        <v>1998138</v>
      </c>
      <c r="D3" s="5">
        <f>_Database!E19</f>
        <v>5000</v>
      </c>
      <c r="E3" s="6">
        <f>IF(VLOOKUP(B3,'CPF Table'!$A$4:$G$9,5,TRUE) * D3 &gt;= VLOOKUP(B3,'CPF Table'!$A$4:$G$8,6,TRUE),VLOOKUP(B3,'CPF Table'!$A$4:$G$8,6,TRUE),VLOOKUP(B3,'CPF Table'!$A$4:$G$8,5,TRUE) * D3)</f>
        <v>1850</v>
      </c>
      <c r="F3" s="5">
        <f t="shared" ref="F3:F13" si="1">D3-E3</f>
        <v>3150</v>
      </c>
      <c r="G3" s="5">
        <f>SUMIFS(Ledger[Transaction Amount],Ledger[Date],"&gt;="&amp;A3,Ledger[Date],"&lt;="&amp;EOMONTH(A3,0))</f>
        <v>0</v>
      </c>
      <c r="H3" s="5">
        <f>SUMIFS(Liability[Amount],Liability[Date],"&gt;="&amp;A3,Liability[Date],"&lt;="&amp;EOMONTH(A3,0),Liability[Paid(Y/N)],"Y")</f>
        <v>0</v>
      </c>
      <c r="I3" s="5">
        <v>2000</v>
      </c>
      <c r="J3" s="5">
        <v>6000</v>
      </c>
      <c r="K3" s="5">
        <f>SUM(SUMIFS(Table4[Amount],Table4[Frequency],"Monthly"), SUMIFS(Table4[Amount],Table4[Date],"&gt;="&amp;A3,Table4[Date],"&lt;="&amp;DATE(YEAR(A3),12,31),Table4[Frequency],"Annually",Table4[Date],"&gt;="&amp;A3,Table4[Date],"&lt;="&amp;EOMONTH(A3,0)))</f>
        <v>1012</v>
      </c>
      <c r="L3" s="5">
        <f t="shared" ref="L3:L13" si="2">(I3+F3)-(J3+H3+G3+K3)</f>
        <v>-1862</v>
      </c>
    </row>
    <row r="4" spans="1:12">
      <c r="A4" s="84">
        <v>44621</v>
      </c>
      <c r="B4" s="85">
        <f>Dashboard!$F$6</f>
        <v>21</v>
      </c>
      <c r="C4" s="5">
        <f t="shared" si="0"/>
        <v>1994276</v>
      </c>
      <c r="D4" s="5">
        <f>_Database!E20</f>
        <v>5000</v>
      </c>
      <c r="E4" s="6">
        <f>IF(VLOOKUP(B4,'CPF Table'!$A$4:$G$9,5,TRUE) * D4 &gt;= VLOOKUP(B4,'CPF Table'!$A$4:$G$8,6,TRUE),VLOOKUP(B4,'CPF Table'!$A$4:$G$8,6,TRUE),VLOOKUP(B4,'CPF Table'!$A$4:$G$8,5,TRUE) * D4)</f>
        <v>1850</v>
      </c>
      <c r="F4" s="5">
        <f t="shared" si="1"/>
        <v>3150</v>
      </c>
      <c r="G4" s="5">
        <f>SUMIFS(Ledger[Transaction Amount],Ledger[Date],"&gt;="&amp;A4,Ledger[Date],"&lt;="&amp;EOMONTH(A4,0))</f>
        <v>0</v>
      </c>
      <c r="H4" s="5">
        <f>SUMIFS(Liability[Amount],Liability[Date],"&gt;="&amp;A4,Liability[Date],"&lt;="&amp;EOMONTH(A4,0),Liability[Paid(Y/N)],"Y")</f>
        <v>0</v>
      </c>
      <c r="I4" s="5">
        <v>3000</v>
      </c>
      <c r="J4" s="5">
        <v>9000</v>
      </c>
      <c r="K4" s="5">
        <f>SUM(SUMIFS(Table4[Amount],Table4[Frequency],"Monthly"), SUMIFS(Table4[Amount],Table4[Date],"&gt;="&amp;A4,Table4[Date],"&lt;="&amp;DATE(YEAR(A4),12,31),Table4[Frequency],"Annually",Table4[Date],"&gt;="&amp;A4,Table4[Date],"&lt;="&amp;EOMONTH(A4,0)))</f>
        <v>1012</v>
      </c>
      <c r="L4" s="5">
        <f t="shared" si="2"/>
        <v>-3862</v>
      </c>
    </row>
    <row r="5" spans="1:12">
      <c r="A5" s="84">
        <v>44652</v>
      </c>
      <c r="B5" s="85">
        <f>Dashboard!$F$6</f>
        <v>21</v>
      </c>
      <c r="C5" s="5">
        <f t="shared" si="0"/>
        <v>1996414</v>
      </c>
      <c r="D5" s="5">
        <f>_Database!E21</f>
        <v>5000</v>
      </c>
      <c r="E5" s="6">
        <f>IF(VLOOKUP(B5,'CPF Table'!$A$4:$G$9,5,TRUE) * D5 &gt;= VLOOKUP(B5,'CPF Table'!$A$4:$G$8,6,TRUE),VLOOKUP(B5,'CPF Table'!$A$4:$G$8,6,TRUE),VLOOKUP(B5,'CPF Table'!$A$4:$G$8,5,TRUE) * D5)</f>
        <v>1850</v>
      </c>
      <c r="F5" s="5">
        <f t="shared" si="1"/>
        <v>3150</v>
      </c>
      <c r="G5" s="5">
        <f>SUMIFS(Ledger[Transaction Amount],Ledger[Date],"&gt;="&amp;A5,Ledger[Date],"&lt;="&amp;EOMONTH(A5,0))</f>
        <v>0</v>
      </c>
      <c r="H5" s="5">
        <f>SUMIFS(Liability[Amount],Liability[Date],"&gt;="&amp;A5,Liability[Date],"&lt;="&amp;EOMONTH(A5,0),Liability[Paid(Y/N)],"Y")</f>
        <v>0</v>
      </c>
      <c r="I5" s="5"/>
      <c r="J5" s="5"/>
      <c r="K5" s="5">
        <f>SUM(SUMIFS(Table4[Amount],Table4[Frequency],"Monthly"), SUMIFS(Table4[Amount],Table4[Date],"&gt;="&amp;A5,Table4[Date],"&lt;="&amp;DATE(YEAR(A5),12,31),Table4[Frequency],"Annually",Table4[Date],"&gt;="&amp;A5,Table4[Date],"&lt;="&amp;EOMONTH(A5,0)))</f>
        <v>1012</v>
      </c>
      <c r="L5" s="5">
        <f t="shared" si="2"/>
        <v>2138</v>
      </c>
    </row>
    <row r="6" spans="1:12">
      <c r="A6" s="84">
        <v>44682</v>
      </c>
      <c r="B6" s="85">
        <f>Dashboard!$F$6</f>
        <v>21</v>
      </c>
      <c r="C6" s="5">
        <f t="shared" si="0"/>
        <v>1998552</v>
      </c>
      <c r="D6" s="5">
        <f>_Database!E22</f>
        <v>5000</v>
      </c>
      <c r="E6" s="6">
        <f>IF(VLOOKUP(B6,'CPF Table'!$A$4:$G$9,5,TRUE) * D6 &gt;= VLOOKUP(B6,'CPF Table'!$A$4:$G$8,6,TRUE),VLOOKUP(B6,'CPF Table'!$A$4:$G$8,6,TRUE),VLOOKUP(B6,'CPF Table'!$A$4:$G$8,5,TRUE) * D6)</f>
        <v>1850</v>
      </c>
      <c r="F6" s="5">
        <f t="shared" si="1"/>
        <v>3150</v>
      </c>
      <c r="G6" s="5">
        <f>SUMIFS(Ledger[Transaction Amount],Ledger[Date],"&gt;="&amp;A6,Ledger[Date],"&lt;="&amp;EOMONTH(A6,0))</f>
        <v>0</v>
      </c>
      <c r="H6" s="5">
        <f>SUMIFS(Liability[Amount],Liability[Date],"&gt;="&amp;A6,Liability[Date],"&lt;="&amp;EOMONTH(A6,0),Liability[Paid(Y/N)],"Y")</f>
        <v>0</v>
      </c>
      <c r="I6" s="5"/>
      <c r="J6" s="5"/>
      <c r="K6" s="5">
        <f>SUM(SUMIFS(Table4[Amount],Table4[Frequency],"Monthly"), SUMIFS(Table4[Amount],Table4[Date],"&gt;="&amp;A6,Table4[Date],"&lt;="&amp;DATE(YEAR(A6),12,31),Table4[Frequency],"Annually",Table4[Date],"&gt;="&amp;A6,Table4[Date],"&lt;="&amp;EOMONTH(A6,0)))</f>
        <v>1012</v>
      </c>
      <c r="L6" s="5">
        <f t="shared" si="2"/>
        <v>2138</v>
      </c>
    </row>
    <row r="7" spans="1:12">
      <c r="A7" s="84">
        <v>44713</v>
      </c>
      <c r="B7" s="85">
        <f>Dashboard!$F$6</f>
        <v>21</v>
      </c>
      <c r="C7" s="5">
        <f t="shared" si="0"/>
        <v>2000690</v>
      </c>
      <c r="D7" s="5">
        <f>_Database!E23</f>
        <v>5000</v>
      </c>
      <c r="E7" s="6">
        <f>IF(VLOOKUP(B7,'CPF Table'!$A$4:$G$9,5,TRUE) * D7 &gt;= VLOOKUP(B7,'CPF Table'!$A$4:$G$8,6,TRUE),VLOOKUP(B7,'CPF Table'!$A$4:$G$8,6,TRUE),VLOOKUP(B7,'CPF Table'!$A$4:$G$8,5,TRUE) * D7)</f>
        <v>1850</v>
      </c>
      <c r="F7" s="5">
        <f t="shared" si="1"/>
        <v>3150</v>
      </c>
      <c r="G7" s="5">
        <f>SUMIFS(Ledger[Transaction Amount],Ledger[Date],"&gt;="&amp;A7,Ledger[Date],"&lt;="&amp;EOMONTH(A7,0))</f>
        <v>0</v>
      </c>
      <c r="H7" s="5">
        <f>SUMIFS(Liability[Amount],Liability[Date],"&gt;="&amp;A7,Liability[Date],"&lt;="&amp;EOMONTH(A7,0),Liability[Paid(Y/N)],"Y")</f>
        <v>0</v>
      </c>
      <c r="I7" s="5"/>
      <c r="J7" s="5"/>
      <c r="K7" s="5">
        <f>SUM(SUMIFS(Table4[Amount],Table4[Frequency],"Monthly"), SUMIFS(Table4[Amount],Table4[Date],"&gt;="&amp;A7,Table4[Date],"&lt;="&amp;DATE(YEAR(A7),12,31),Table4[Frequency],"Annually",Table4[Date],"&gt;="&amp;A7,Table4[Date],"&lt;="&amp;EOMONTH(A7,0)))</f>
        <v>1012</v>
      </c>
      <c r="L7" s="5">
        <f t="shared" si="2"/>
        <v>2138</v>
      </c>
    </row>
    <row r="8" spans="1:12">
      <c r="A8" s="84">
        <v>44743</v>
      </c>
      <c r="B8" s="85">
        <f>Dashboard!$F$6</f>
        <v>21</v>
      </c>
      <c r="C8" s="5">
        <f t="shared" si="0"/>
        <v>2002828</v>
      </c>
      <c r="D8" s="5">
        <f>_Database!E24</f>
        <v>5000</v>
      </c>
      <c r="E8" s="6">
        <f>IF(VLOOKUP(B8,'CPF Table'!$A$4:$G$9,5,TRUE) * D8 &gt;= VLOOKUP(B8,'CPF Table'!$A$4:$G$8,6,TRUE),VLOOKUP(B8,'CPF Table'!$A$4:$G$8,6,TRUE),VLOOKUP(B8,'CPF Table'!$A$4:$G$8,5,TRUE) * D8)</f>
        <v>1850</v>
      </c>
      <c r="F8" s="5">
        <f t="shared" si="1"/>
        <v>3150</v>
      </c>
      <c r="G8" s="5">
        <f>SUMIFS(Ledger[Transaction Amount],Ledger[Date],"&gt;="&amp;A8,Ledger[Date],"&lt;="&amp;EOMONTH(A8,0))</f>
        <v>0</v>
      </c>
      <c r="H8" s="5">
        <f>SUMIFS(Liability[Amount],Liability[Date],"&gt;="&amp;A8,Liability[Date],"&lt;="&amp;EOMONTH(A8,0),Liability[Paid(Y/N)],"Y")</f>
        <v>0</v>
      </c>
      <c r="I8" s="5"/>
      <c r="J8" s="5"/>
      <c r="K8" s="5">
        <f>SUM(SUMIFS(Table4[Amount],Table4[Frequency],"Monthly"), SUMIFS(Table4[Amount],Table4[Date],"&gt;="&amp;A8,Table4[Date],"&lt;="&amp;DATE(YEAR(A8),12,31),Table4[Frequency],"Annually",Table4[Date],"&gt;="&amp;A8,Table4[Date],"&lt;="&amp;EOMONTH(A8,0)))</f>
        <v>1012</v>
      </c>
      <c r="L8" s="5">
        <f t="shared" si="2"/>
        <v>2138</v>
      </c>
    </row>
    <row r="9" spans="1:12">
      <c r="A9" s="84">
        <v>44774</v>
      </c>
      <c r="B9" s="85">
        <f>Dashboard!$F$6</f>
        <v>21</v>
      </c>
      <c r="C9" s="5">
        <f t="shared" si="0"/>
        <v>2004966</v>
      </c>
      <c r="D9" s="5">
        <f>_Database!E25</f>
        <v>5000</v>
      </c>
      <c r="E9" s="6">
        <f>IF(VLOOKUP(B9,'CPF Table'!$A$4:$G$9,5,TRUE) * D9 &gt;= VLOOKUP(B9,'CPF Table'!$A$4:$G$8,6,TRUE),VLOOKUP(B9,'CPF Table'!$A$4:$G$8,6,TRUE),VLOOKUP(B9,'CPF Table'!$A$4:$G$8,5,TRUE) * D9)</f>
        <v>1850</v>
      </c>
      <c r="F9" s="5">
        <f t="shared" si="1"/>
        <v>3150</v>
      </c>
      <c r="G9" s="5">
        <f>SUMIFS(Ledger[Transaction Amount],Ledger[Date],"&gt;="&amp;A9,Ledger[Date],"&lt;="&amp;EOMONTH(A9,0))</f>
        <v>0</v>
      </c>
      <c r="H9" s="5">
        <f>SUMIFS(Liability[Amount],Liability[Date],"&gt;="&amp;A9,Liability[Date],"&lt;="&amp;EOMONTH(A9,0),Liability[Paid(Y/N)],"Y")</f>
        <v>0</v>
      </c>
      <c r="I9" s="5"/>
      <c r="J9" s="5"/>
      <c r="K9" s="5">
        <f>SUM(SUMIFS(Table4[Amount],Table4[Frequency],"Monthly"), SUMIFS(Table4[Amount],Table4[Date],"&gt;="&amp;A9,Table4[Date],"&lt;="&amp;DATE(YEAR(A9),12,31),Table4[Frequency],"Annually",Table4[Date],"&gt;="&amp;A9,Table4[Date],"&lt;="&amp;EOMONTH(A9,0)))</f>
        <v>1012</v>
      </c>
      <c r="L9" s="5">
        <f t="shared" si="2"/>
        <v>2138</v>
      </c>
    </row>
    <row r="10" spans="1:12">
      <c r="A10" s="84">
        <v>44805</v>
      </c>
      <c r="B10" s="85">
        <f>Dashboard!$F$6</f>
        <v>21</v>
      </c>
      <c r="C10" s="5">
        <f t="shared" si="0"/>
        <v>2007104</v>
      </c>
      <c r="D10" s="5">
        <f>_Database!E26</f>
        <v>5000</v>
      </c>
      <c r="E10" s="6">
        <f>IF(VLOOKUP(B10,'CPF Table'!$A$4:$G$9,5,TRUE) * D10 &gt;= VLOOKUP(B10,'CPF Table'!$A$4:$G$8,6,TRUE),VLOOKUP(B10,'CPF Table'!$A$4:$G$8,6,TRUE),VLOOKUP(B10,'CPF Table'!$A$4:$G$8,5,TRUE) * D10)</f>
        <v>1850</v>
      </c>
      <c r="F10" s="5">
        <f t="shared" si="1"/>
        <v>3150</v>
      </c>
      <c r="G10" s="5">
        <f>SUMIFS(Ledger[Transaction Amount],Ledger[Date],"&gt;="&amp;A10,Ledger[Date],"&lt;="&amp;EOMONTH(A10,0))</f>
        <v>0</v>
      </c>
      <c r="H10" s="5">
        <f>SUMIFS(Liability[Amount],Liability[Date],"&gt;="&amp;A10,Liability[Date],"&lt;="&amp;EOMONTH(A10,0),Liability[Paid(Y/N)],"Y")</f>
        <v>0</v>
      </c>
      <c r="I10" s="5"/>
      <c r="J10" s="5"/>
      <c r="K10" s="5">
        <f>SUM(SUMIFS(Table4[Amount],Table4[Frequency],"Monthly"), SUMIFS(Table4[Amount],Table4[Date],"&gt;="&amp;A10,Table4[Date],"&lt;="&amp;DATE(YEAR(A10),12,31),Table4[Frequency],"Annually",Table4[Date],"&gt;="&amp;A10,Table4[Date],"&lt;="&amp;EOMONTH(A10,0)))</f>
        <v>1012</v>
      </c>
      <c r="L10" s="5">
        <f t="shared" si="2"/>
        <v>2138</v>
      </c>
    </row>
    <row r="11" spans="1:12">
      <c r="A11" s="84">
        <v>44835</v>
      </c>
      <c r="B11" s="85">
        <f>Dashboard!$F$6</f>
        <v>21</v>
      </c>
      <c r="C11" s="5">
        <f t="shared" si="0"/>
        <v>2009242</v>
      </c>
      <c r="D11" s="5">
        <f>_Database!E27</f>
        <v>5000</v>
      </c>
      <c r="E11" s="6">
        <f>IF(VLOOKUP(B11,'CPF Table'!$A$4:$G$9,5,TRUE) * D11 &gt;= VLOOKUP(B11,'CPF Table'!$A$4:$G$8,6,TRUE),VLOOKUP(B11,'CPF Table'!$A$4:$G$8,6,TRUE),VLOOKUP(B11,'CPF Table'!$A$4:$G$8,5,TRUE) * D11)</f>
        <v>1850</v>
      </c>
      <c r="F11" s="5">
        <f t="shared" si="1"/>
        <v>3150</v>
      </c>
      <c r="G11" s="5">
        <f>SUMIFS(Ledger[Transaction Amount],Ledger[Date],"&gt;="&amp;A11,Ledger[Date],"&lt;="&amp;EOMONTH(A11,0))</f>
        <v>0</v>
      </c>
      <c r="H11" s="5">
        <f>SUMIFS(Liability[Amount],Liability[Date],"&gt;="&amp;A11,Liability[Date],"&lt;="&amp;EOMONTH(A11,0),Liability[Paid(Y/N)],"Y")</f>
        <v>0</v>
      </c>
      <c r="I11" s="5"/>
      <c r="J11" s="5"/>
      <c r="K11" s="5">
        <f>SUM(SUMIFS(Table4[Amount],Table4[Frequency],"Monthly"), SUMIFS(Table4[Amount],Table4[Date],"&gt;="&amp;A11,Table4[Date],"&lt;="&amp;DATE(YEAR(A11),12,31),Table4[Frequency],"Annually",Table4[Date],"&gt;="&amp;A11,Table4[Date],"&lt;="&amp;EOMONTH(A11,0)))</f>
        <v>1012</v>
      </c>
      <c r="L11" s="5">
        <f t="shared" si="2"/>
        <v>2138</v>
      </c>
    </row>
    <row r="12" spans="1:12">
      <c r="A12" s="84">
        <v>44866</v>
      </c>
      <c r="B12" s="85">
        <f>Dashboard!$F$6</f>
        <v>21</v>
      </c>
      <c r="C12" s="5">
        <f t="shared" si="0"/>
        <v>2011380</v>
      </c>
      <c r="D12" s="5">
        <f>_Database!E28</f>
        <v>5000</v>
      </c>
      <c r="E12" s="6">
        <f>IF(VLOOKUP(B12,'CPF Table'!$A$4:$G$9,5,TRUE) * D12 &gt;= VLOOKUP(B12,'CPF Table'!$A$4:$G$8,6,TRUE),VLOOKUP(B12,'CPF Table'!$A$4:$G$8,6,TRUE),VLOOKUP(B12,'CPF Table'!$A$4:$G$8,5,TRUE) * D12)</f>
        <v>1850</v>
      </c>
      <c r="F12" s="5">
        <f t="shared" si="1"/>
        <v>3150</v>
      </c>
      <c r="G12" s="5">
        <f>SUMIFS(Ledger[Transaction Amount],Ledger[Date],"&gt;="&amp;A12,Ledger[Date],"&lt;="&amp;EOMONTH(A12,0))</f>
        <v>0</v>
      </c>
      <c r="H12" s="5">
        <f>SUMIFS(Liability[Amount],Liability[Date],"&gt;="&amp;A12,Liability[Date],"&lt;="&amp;EOMONTH(A12,0),Liability[Paid(Y/N)],"Y")</f>
        <v>0</v>
      </c>
      <c r="I12" s="5"/>
      <c r="J12" s="5"/>
      <c r="K12" s="5">
        <f>SUM(SUMIFS(Table4[Amount],Table4[Frequency],"Monthly"), SUMIFS(Table4[Amount],Table4[Date],"&gt;="&amp;A12,Table4[Date],"&lt;="&amp;DATE(YEAR(A12),12,31),Table4[Frequency],"Annually",Table4[Date],"&gt;="&amp;A12,Table4[Date],"&lt;="&amp;EOMONTH(A12,0)))</f>
        <v>1012</v>
      </c>
      <c r="L12" s="5">
        <f t="shared" si="2"/>
        <v>2138</v>
      </c>
    </row>
    <row r="13" spans="1:12">
      <c r="A13" s="84">
        <v>44896</v>
      </c>
      <c r="B13" s="85">
        <f>Dashboard!$F$6</f>
        <v>21</v>
      </c>
      <c r="C13" s="5">
        <f t="shared" si="0"/>
        <v>2013518</v>
      </c>
      <c r="D13" s="5">
        <f>_Database!E29</f>
        <v>5000</v>
      </c>
      <c r="E13" s="6">
        <f>IF(VLOOKUP(B13,'CPF Table'!$A$4:$G$9,5,TRUE) * D13 &gt;= VLOOKUP(B13,'CPF Table'!$A$4:$G$8,6,TRUE),VLOOKUP(B13,'CPF Table'!$A$4:$G$8,6,TRUE),VLOOKUP(B13,'CPF Table'!$A$4:$G$8,5,TRUE) * D13)</f>
        <v>1850</v>
      </c>
      <c r="F13" s="5">
        <f t="shared" si="1"/>
        <v>3150</v>
      </c>
      <c r="G13" s="5">
        <f>SUMIFS(Ledger[Transaction Amount],Ledger[Date],"&gt;="&amp;A13,Ledger[Date],"&lt;="&amp;EOMONTH(A13,0))</f>
        <v>0</v>
      </c>
      <c r="H13" s="5">
        <f>SUMIFS(Liability[Amount],Liability[Date],"&gt;="&amp;A13,Liability[Date],"&lt;="&amp;EOMONTH(A13,0),Liability[Paid(Y/N)],"Y")</f>
        <v>0</v>
      </c>
      <c r="I13" s="5"/>
      <c r="J13" s="5"/>
      <c r="K13" s="5">
        <f>SUM(SUMIFS(Table4[Amount],Table4[Frequency],"Monthly"), SUMIFS(Table4[Amount],Table4[Date],"&gt;="&amp;A13,Table4[Date],"&lt;="&amp;DATE(YEAR(A13),12,31),Table4[Frequency],"Annually",Table4[Date],"&gt;="&amp;A13,Table4[Date],"&lt;="&amp;EOMONTH(A13,0)))</f>
        <v>1012</v>
      </c>
      <c r="L13" s="5">
        <f t="shared" si="2"/>
        <v>2138</v>
      </c>
    </row>
    <row r="15" spans="1:12">
      <c r="A15" s="169" t="s">
        <v>103</v>
      </c>
      <c r="B15" s="169"/>
      <c r="C15" s="169"/>
      <c r="D15" s="169"/>
    </row>
    <row r="16" spans="1:12">
      <c r="A16" s="169"/>
      <c r="B16" s="169"/>
      <c r="C16" s="169"/>
      <c r="D16" s="169"/>
      <c r="G16" s="7"/>
    </row>
    <row r="19" spans="1:1">
      <c r="A19" s="148" t="s">
        <v>47</v>
      </c>
    </row>
    <row r="20" spans="1:1">
      <c r="A20" s="148" t="s">
        <v>50</v>
      </c>
    </row>
  </sheetData>
  <mergeCells count="1">
    <mergeCell ref="A15:D1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E05B-B95E-48D7-8DC4-97517233B208}">
  <sheetPr codeName="Sheet12"/>
  <dimension ref="A1:AH40"/>
  <sheetViews>
    <sheetView workbookViewId="0">
      <selection activeCell="I7" sqref="I7"/>
    </sheetView>
  </sheetViews>
  <sheetFormatPr defaultRowHeight="15"/>
  <cols>
    <col min="2" max="2" width="11.42578125" customWidth="1"/>
    <col min="3" max="3" width="16.5703125" style="60" customWidth="1"/>
    <col min="4" max="4" width="15.42578125" style="60" customWidth="1"/>
    <col min="5" max="5" width="19.42578125" style="60" customWidth="1"/>
    <col min="6" max="6" width="16.42578125" style="62" customWidth="1"/>
    <col min="7" max="7" width="18.5703125" style="62" customWidth="1"/>
    <col min="8" max="8" width="31.5703125" customWidth="1"/>
    <col min="9" max="9" width="32.7109375" customWidth="1"/>
    <col min="10" max="10" width="13.5703125" customWidth="1"/>
    <col min="11" max="11" width="52.85546875" customWidth="1"/>
    <col min="12" max="12" width="11.42578125" customWidth="1"/>
    <col min="15" max="15" width="13.42578125" style="52" customWidth="1"/>
    <col min="16" max="17" width="9.42578125" style="52"/>
  </cols>
  <sheetData>
    <row r="1" spans="1:34">
      <c r="A1" s="68"/>
      <c r="B1" s="68"/>
      <c r="C1" s="87"/>
      <c r="D1" s="87"/>
      <c r="E1" s="87"/>
      <c r="F1" s="88"/>
      <c r="G1" s="88"/>
      <c r="H1" s="68"/>
      <c r="I1" s="68"/>
      <c r="J1" s="68"/>
      <c r="K1" s="68"/>
      <c r="L1" s="68"/>
      <c r="M1" s="68"/>
      <c r="N1" s="68"/>
      <c r="O1" s="98"/>
      <c r="P1" s="98"/>
      <c r="Q1" s="98"/>
      <c r="R1" s="27"/>
      <c r="S1" s="27"/>
      <c r="T1" s="27"/>
      <c r="U1" s="27"/>
      <c r="V1" s="27"/>
      <c r="W1" s="27"/>
      <c r="X1" s="27"/>
      <c r="Y1" s="27"/>
      <c r="Z1" s="27"/>
      <c r="AA1" s="27"/>
      <c r="AB1" s="27"/>
      <c r="AC1" s="27"/>
      <c r="AD1" s="27"/>
      <c r="AE1" s="27"/>
      <c r="AF1" s="27"/>
      <c r="AG1" s="27"/>
      <c r="AH1" s="27"/>
    </row>
    <row r="2" spans="1:34">
      <c r="A2" s="170" t="s">
        <v>104</v>
      </c>
      <c r="B2" s="170"/>
      <c r="C2" s="170"/>
      <c r="D2" s="170"/>
      <c r="E2" s="170"/>
      <c r="F2" s="170"/>
      <c r="G2" s="172"/>
      <c r="H2" s="68"/>
      <c r="I2" s="68"/>
      <c r="J2" s="68"/>
      <c r="K2" s="68"/>
      <c r="L2" s="68"/>
      <c r="M2" s="68"/>
      <c r="N2" s="68"/>
      <c r="O2" s="98"/>
      <c r="P2" s="98"/>
      <c r="Q2" s="98"/>
      <c r="R2" s="27"/>
      <c r="S2" s="27"/>
      <c r="T2" s="27"/>
      <c r="U2" s="27"/>
      <c r="V2" s="27"/>
      <c r="W2" s="27"/>
      <c r="X2" s="27"/>
      <c r="Y2" s="27"/>
      <c r="Z2" s="27"/>
      <c r="AA2" s="27"/>
      <c r="AB2" s="27"/>
      <c r="AC2" s="27"/>
      <c r="AD2" s="27"/>
      <c r="AE2" s="27"/>
      <c r="AF2" s="27"/>
      <c r="AG2" s="27"/>
      <c r="AH2" s="27"/>
    </row>
    <row r="3" spans="1:34">
      <c r="A3" s="89" t="s">
        <v>105</v>
      </c>
      <c r="B3" s="89" t="s">
        <v>106</v>
      </c>
      <c r="C3" s="93" t="s">
        <v>107</v>
      </c>
      <c r="D3" s="93" t="s">
        <v>108</v>
      </c>
      <c r="E3" s="93" t="s">
        <v>42</v>
      </c>
      <c r="F3" s="150" t="s">
        <v>109</v>
      </c>
      <c r="G3" s="149" t="s">
        <v>110</v>
      </c>
      <c r="H3" s="68"/>
      <c r="I3" s="68"/>
      <c r="J3" s="68"/>
      <c r="K3" s="68"/>
      <c r="L3" s="68"/>
      <c r="M3" s="68"/>
      <c r="N3" s="68"/>
      <c r="O3" s="98"/>
      <c r="P3" s="98"/>
      <c r="Q3" s="98"/>
      <c r="R3" s="27"/>
      <c r="S3" s="27"/>
      <c r="T3" s="27"/>
      <c r="U3" s="27"/>
      <c r="V3" s="27"/>
      <c r="W3" s="27"/>
      <c r="X3" s="27"/>
      <c r="Y3" s="27"/>
      <c r="Z3" s="27"/>
      <c r="AA3" s="27"/>
      <c r="AB3" s="27"/>
      <c r="AC3" s="27"/>
      <c r="AD3" s="27"/>
      <c r="AE3" s="27"/>
      <c r="AF3" s="27"/>
      <c r="AG3" s="27"/>
      <c r="AH3" s="27"/>
    </row>
    <row r="4" spans="1:34">
      <c r="A4" s="90">
        <v>0</v>
      </c>
      <c r="B4" s="90">
        <v>55</v>
      </c>
      <c r="C4" s="91">
        <v>0.17</v>
      </c>
      <c r="D4" s="91">
        <v>0.2</v>
      </c>
      <c r="E4" s="91">
        <f>D4+C4</f>
        <v>0.37</v>
      </c>
      <c r="F4" s="92">
        <f>MAX(2220)</f>
        <v>2220</v>
      </c>
      <c r="G4" s="151">
        <v>1200</v>
      </c>
      <c r="H4" s="68"/>
      <c r="I4" s="68"/>
      <c r="J4" s="68"/>
      <c r="K4" s="68"/>
      <c r="L4" s="68"/>
      <c r="M4" s="68"/>
      <c r="N4" s="68"/>
      <c r="O4" s="98"/>
      <c r="P4" s="98"/>
      <c r="Q4" s="98"/>
      <c r="R4" s="27"/>
      <c r="S4" s="27"/>
      <c r="T4" s="27"/>
      <c r="U4" s="27"/>
      <c r="V4" s="27"/>
      <c r="W4" s="27"/>
      <c r="X4" s="27"/>
      <c r="Y4" s="27"/>
      <c r="Z4" s="27"/>
      <c r="AA4" s="27"/>
      <c r="AB4" s="27"/>
      <c r="AC4" s="27"/>
      <c r="AD4" s="27"/>
      <c r="AE4" s="27"/>
      <c r="AF4" s="27"/>
      <c r="AG4" s="27"/>
      <c r="AH4" s="27"/>
    </row>
    <row r="5" spans="1:34">
      <c r="A5" s="90">
        <v>56</v>
      </c>
      <c r="B5" s="90">
        <v>60</v>
      </c>
      <c r="C5" s="91">
        <v>0.14000000000000001</v>
      </c>
      <c r="D5" s="91">
        <v>0.14000000000000001</v>
      </c>
      <c r="E5" s="91">
        <f>C5+D5</f>
        <v>0.28000000000000003</v>
      </c>
      <c r="F5" s="92">
        <v>1680</v>
      </c>
      <c r="G5" s="92">
        <v>840</v>
      </c>
      <c r="H5" s="68"/>
      <c r="I5" s="68"/>
      <c r="J5" s="68"/>
      <c r="K5" s="68"/>
      <c r="L5" s="68"/>
      <c r="M5" s="68"/>
      <c r="N5" s="68"/>
      <c r="O5" s="98"/>
      <c r="P5" s="98"/>
      <c r="Q5" s="98"/>
      <c r="R5" s="27"/>
      <c r="S5" s="27"/>
      <c r="T5" s="27"/>
      <c r="U5" s="27"/>
      <c r="V5" s="27"/>
      <c r="W5" s="27"/>
      <c r="X5" s="27"/>
      <c r="Y5" s="27"/>
      <c r="Z5" s="27"/>
      <c r="AA5" s="27"/>
      <c r="AB5" s="27"/>
      <c r="AC5" s="27"/>
      <c r="AD5" s="27"/>
      <c r="AE5" s="27"/>
      <c r="AF5" s="27"/>
      <c r="AG5" s="27"/>
      <c r="AH5" s="27"/>
    </row>
    <row r="6" spans="1:34" ht="14.45" customHeight="1">
      <c r="A6" s="90">
        <v>61</v>
      </c>
      <c r="B6" s="90">
        <v>65</v>
      </c>
      <c r="C6" s="91">
        <v>0.1</v>
      </c>
      <c r="D6" s="91">
        <v>8.5000000000000006E-2</v>
      </c>
      <c r="E6" s="91">
        <f>C6+D6</f>
        <v>0.185</v>
      </c>
      <c r="F6" s="92">
        <v>1100</v>
      </c>
      <c r="G6" s="92">
        <v>510</v>
      </c>
      <c r="H6" s="68"/>
      <c r="I6" s="174"/>
      <c r="J6" s="174"/>
      <c r="K6" s="174"/>
      <c r="L6" s="68"/>
      <c r="M6" s="68"/>
      <c r="N6" s="68"/>
      <c r="O6" s="98"/>
      <c r="P6" s="98"/>
      <c r="Q6" s="98"/>
      <c r="R6" s="27"/>
      <c r="S6" s="27"/>
      <c r="T6" s="27"/>
      <c r="U6" s="27"/>
      <c r="V6" s="27"/>
      <c r="W6" s="27"/>
      <c r="X6" s="27"/>
      <c r="Y6" s="27"/>
      <c r="Z6" s="27"/>
      <c r="AA6" s="27"/>
      <c r="AB6" s="27"/>
      <c r="AC6" s="27"/>
      <c r="AD6" s="27"/>
      <c r="AE6" s="27"/>
      <c r="AF6" s="27"/>
      <c r="AG6" s="27"/>
      <c r="AH6" s="27"/>
    </row>
    <row r="7" spans="1:34">
      <c r="A7" s="90">
        <v>66</v>
      </c>
      <c r="B7" s="90">
        <v>70</v>
      </c>
      <c r="C7" s="91">
        <v>0.08</v>
      </c>
      <c r="D7" s="91">
        <v>0.06</v>
      </c>
      <c r="E7" s="91">
        <f>C7+D7</f>
        <v>0.14000000000000001</v>
      </c>
      <c r="F7" s="92">
        <v>840</v>
      </c>
      <c r="G7" s="92">
        <v>360</v>
      </c>
      <c r="H7" s="68"/>
      <c r="I7" s="68"/>
      <c r="J7" s="68"/>
      <c r="K7" s="68"/>
      <c r="L7" s="68"/>
      <c r="M7" s="68"/>
      <c r="N7" s="68"/>
      <c r="O7" s="98"/>
      <c r="P7" s="98"/>
      <c r="Q7" s="98"/>
      <c r="R7" s="27"/>
      <c r="S7" s="27"/>
      <c r="T7" s="27"/>
      <c r="U7" s="27"/>
      <c r="V7" s="27"/>
      <c r="W7" s="27"/>
      <c r="X7" s="27"/>
      <c r="Y7" s="27"/>
      <c r="Z7" s="27"/>
      <c r="AA7" s="27"/>
      <c r="AB7" s="27"/>
      <c r="AC7" s="27"/>
      <c r="AD7" s="27"/>
      <c r="AE7" s="27"/>
      <c r="AF7" s="27"/>
      <c r="AG7" s="27"/>
      <c r="AH7" s="27"/>
    </row>
    <row r="8" spans="1:34">
      <c r="A8" s="90">
        <v>71</v>
      </c>
      <c r="B8" s="90">
        <v>999</v>
      </c>
      <c r="C8" s="91">
        <v>7.4999999999999997E-2</v>
      </c>
      <c r="D8" s="91">
        <v>0.05</v>
      </c>
      <c r="E8" s="91">
        <f>C8+D8</f>
        <v>0.125</v>
      </c>
      <c r="F8" s="92">
        <v>750</v>
      </c>
      <c r="G8" s="92">
        <v>300</v>
      </c>
      <c r="H8" s="68"/>
      <c r="I8" s="68"/>
      <c r="J8" s="68"/>
      <c r="K8" s="68"/>
      <c r="L8" s="68"/>
      <c r="M8" s="68"/>
      <c r="N8" s="68"/>
      <c r="O8" s="98"/>
      <c r="P8" s="98"/>
      <c r="Q8" s="98"/>
      <c r="R8" s="27"/>
      <c r="S8" s="27"/>
      <c r="T8" s="27"/>
      <c r="U8" s="27"/>
      <c r="V8" s="27"/>
      <c r="W8" s="27"/>
      <c r="X8" s="27"/>
      <c r="Y8" s="27"/>
      <c r="Z8" s="27"/>
      <c r="AA8" s="27"/>
      <c r="AB8" s="27"/>
      <c r="AC8" s="27"/>
      <c r="AD8" s="27"/>
      <c r="AE8" s="27"/>
      <c r="AF8" s="27"/>
      <c r="AG8" s="27"/>
      <c r="AH8" s="27"/>
    </row>
    <row r="9" spans="1:34">
      <c r="A9" s="68"/>
      <c r="B9" s="68"/>
      <c r="C9" s="87"/>
      <c r="D9" s="87"/>
      <c r="E9" s="87"/>
      <c r="F9" s="88"/>
      <c r="G9" s="88"/>
      <c r="H9" s="68"/>
      <c r="I9" s="68"/>
      <c r="J9" s="68"/>
      <c r="K9" s="68"/>
      <c r="L9" s="68"/>
      <c r="M9" s="68"/>
      <c r="N9" s="68"/>
      <c r="O9" s="98"/>
      <c r="P9" s="98"/>
      <c r="Q9" s="98"/>
      <c r="R9" s="27"/>
      <c r="S9" s="27"/>
      <c r="T9" s="27"/>
      <c r="U9" s="27"/>
      <c r="V9" s="27"/>
      <c r="W9" s="27"/>
      <c r="X9" s="27"/>
      <c r="Y9" s="27"/>
      <c r="Z9" s="27"/>
      <c r="AA9" s="27"/>
      <c r="AB9" s="27"/>
      <c r="AC9" s="27"/>
      <c r="AD9" s="27"/>
      <c r="AE9" s="27"/>
      <c r="AF9" s="27"/>
      <c r="AG9" s="27"/>
      <c r="AH9" s="27"/>
    </row>
    <row r="10" spans="1:34">
      <c r="A10" s="68"/>
      <c r="B10" s="68"/>
      <c r="C10" s="87"/>
      <c r="D10" s="87"/>
      <c r="E10" s="87"/>
      <c r="F10" s="88"/>
      <c r="G10" s="88"/>
      <c r="H10" s="68"/>
      <c r="I10" s="68"/>
      <c r="J10" s="68"/>
      <c r="K10" s="68"/>
      <c r="L10" s="68"/>
      <c r="M10" s="68"/>
      <c r="N10" s="68"/>
      <c r="O10" s="98"/>
      <c r="P10" s="98"/>
      <c r="Q10" s="98"/>
      <c r="R10" s="27"/>
      <c r="S10" s="27"/>
      <c r="T10" s="27"/>
      <c r="U10" s="27"/>
      <c r="V10" s="27"/>
      <c r="W10" s="27"/>
      <c r="X10" s="27"/>
      <c r="Y10" s="27"/>
      <c r="Z10" s="27"/>
      <c r="AA10" s="27"/>
      <c r="AB10" s="27"/>
      <c r="AC10" s="27"/>
      <c r="AD10" s="27"/>
      <c r="AE10" s="27"/>
      <c r="AF10" s="27"/>
      <c r="AG10" s="27"/>
      <c r="AH10" s="27"/>
    </row>
    <row r="11" spans="1:34">
      <c r="A11" s="68"/>
      <c r="B11" s="68"/>
      <c r="C11" s="87"/>
      <c r="D11" s="87"/>
      <c r="E11" s="87"/>
      <c r="F11" s="88"/>
      <c r="G11" s="88"/>
      <c r="H11" s="68"/>
      <c r="I11" s="68"/>
      <c r="J11" s="68"/>
      <c r="K11" s="68"/>
      <c r="L11" s="68"/>
      <c r="M11" s="68"/>
      <c r="N11" s="68"/>
      <c r="O11" s="98"/>
      <c r="P11" s="98"/>
      <c r="Q11" s="98"/>
      <c r="R11" s="27"/>
      <c r="S11" s="27"/>
      <c r="T11" s="27"/>
      <c r="U11" s="27"/>
      <c r="V11" s="27"/>
      <c r="W11" s="27"/>
      <c r="X11" s="27"/>
      <c r="Y11" s="27"/>
      <c r="Z11" s="27"/>
      <c r="AA11" s="27"/>
      <c r="AB11" s="27"/>
      <c r="AC11" s="27"/>
      <c r="AD11" s="27"/>
      <c r="AE11" s="27"/>
      <c r="AF11" s="27"/>
      <c r="AG11" s="27"/>
      <c r="AH11" s="27"/>
    </row>
    <row r="12" spans="1:34">
      <c r="A12" s="68"/>
      <c r="B12" s="68"/>
      <c r="C12" s="87"/>
      <c r="D12" s="87"/>
      <c r="E12" s="87"/>
      <c r="F12" s="88"/>
      <c r="G12" s="173"/>
      <c r="H12" s="173"/>
      <c r="I12" s="173"/>
      <c r="J12" s="88"/>
      <c r="K12" s="68"/>
      <c r="L12" s="68"/>
      <c r="M12" s="68"/>
      <c r="N12" s="68"/>
      <c r="O12" s="98"/>
      <c r="P12" s="98"/>
      <c r="Q12" s="98"/>
      <c r="R12" s="27"/>
      <c r="S12" s="27"/>
      <c r="T12" s="27"/>
      <c r="U12" s="27"/>
      <c r="V12" s="27"/>
      <c r="W12" s="27"/>
      <c r="X12" s="27"/>
      <c r="Y12" s="27"/>
      <c r="Z12" s="27"/>
      <c r="AA12" s="27"/>
      <c r="AB12" s="27"/>
      <c r="AC12" s="27"/>
      <c r="AD12" s="27"/>
      <c r="AE12" s="27"/>
      <c r="AF12" s="27"/>
      <c r="AG12" s="27"/>
      <c r="AH12" s="27"/>
    </row>
    <row r="13" spans="1:34" ht="14.85" customHeight="1">
      <c r="A13" s="170" t="s">
        <v>111</v>
      </c>
      <c r="B13" s="170"/>
      <c r="C13" s="170"/>
      <c r="D13" s="170"/>
      <c r="E13" s="170"/>
      <c r="F13" s="68"/>
      <c r="G13" s="138"/>
      <c r="H13" s="138"/>
      <c r="I13" s="138"/>
      <c r="J13" s="68"/>
      <c r="K13" s="68"/>
      <c r="L13" s="68"/>
      <c r="M13" s="68"/>
      <c r="N13" s="68"/>
      <c r="O13" s="98"/>
      <c r="P13" s="98"/>
      <c r="Q13" s="98"/>
      <c r="R13" s="27"/>
      <c r="S13" s="27"/>
      <c r="T13" s="27"/>
      <c r="U13" s="27"/>
      <c r="V13" s="27"/>
      <c r="W13" s="27"/>
      <c r="X13" s="27"/>
      <c r="Y13" s="27"/>
      <c r="Z13" s="27"/>
      <c r="AA13" s="27"/>
      <c r="AB13" s="27"/>
      <c r="AC13" s="27"/>
      <c r="AD13" s="27"/>
      <c r="AE13" s="27"/>
      <c r="AF13" s="27"/>
      <c r="AG13" s="27"/>
      <c r="AH13" s="27"/>
    </row>
    <row r="14" spans="1:34" ht="14.85" customHeight="1">
      <c r="A14" s="170" t="s">
        <v>112</v>
      </c>
      <c r="B14" s="170"/>
      <c r="C14" s="171" t="s">
        <v>113</v>
      </c>
      <c r="D14" s="171"/>
      <c r="E14" s="171"/>
      <c r="F14" s="88"/>
      <c r="G14" s="88"/>
      <c r="H14" s="88"/>
      <c r="I14" s="88"/>
      <c r="J14" s="68"/>
      <c r="K14" s="68"/>
      <c r="L14" s="68"/>
      <c r="M14" s="68"/>
      <c r="N14" s="68"/>
      <c r="O14" s="98"/>
      <c r="P14" s="98"/>
      <c r="Q14" s="98"/>
      <c r="R14" s="27"/>
      <c r="S14" s="27"/>
      <c r="T14" s="27"/>
      <c r="U14" s="27"/>
      <c r="V14" s="27"/>
      <c r="W14" s="27"/>
      <c r="X14" s="27"/>
      <c r="Y14" s="27"/>
      <c r="Z14" s="27"/>
      <c r="AA14" s="27"/>
      <c r="AB14" s="27"/>
      <c r="AC14" s="27"/>
      <c r="AD14" s="27"/>
      <c r="AE14" s="27"/>
      <c r="AF14" s="27"/>
      <c r="AG14" s="27"/>
      <c r="AH14" s="27"/>
    </row>
    <row r="15" spans="1:34" ht="14.85" customHeight="1">
      <c r="A15" s="94" t="s">
        <v>114</v>
      </c>
      <c r="B15" s="94" t="s">
        <v>106</v>
      </c>
      <c r="C15" s="95" t="s">
        <v>115</v>
      </c>
      <c r="D15" s="95" t="s">
        <v>116</v>
      </c>
      <c r="E15" s="96" t="s">
        <v>117</v>
      </c>
      <c r="F15" s="88"/>
      <c r="G15" s="88"/>
      <c r="H15" s="68"/>
      <c r="I15" s="68"/>
      <c r="J15" s="68"/>
      <c r="K15" s="68"/>
      <c r="L15" s="68"/>
      <c r="M15" s="68"/>
      <c r="N15" s="68"/>
      <c r="O15" s="98"/>
      <c r="P15" s="98"/>
      <c r="Q15" s="98"/>
      <c r="R15" s="27"/>
      <c r="S15" s="27"/>
      <c r="T15" s="27"/>
      <c r="U15" s="27"/>
      <c r="V15" s="27"/>
      <c r="W15" s="27"/>
      <c r="X15" s="27"/>
      <c r="Y15" s="27"/>
      <c r="Z15" s="27"/>
      <c r="AA15" s="27"/>
      <c r="AB15" s="27"/>
      <c r="AC15" s="27"/>
      <c r="AD15" s="27"/>
      <c r="AE15" s="27"/>
      <c r="AF15" s="27"/>
      <c r="AG15" s="27"/>
      <c r="AH15" s="27"/>
    </row>
    <row r="16" spans="1:34" ht="14.85" customHeight="1">
      <c r="A16" s="90">
        <v>0</v>
      </c>
      <c r="B16" s="90">
        <v>35</v>
      </c>
      <c r="C16" s="97">
        <v>0.62170000000000003</v>
      </c>
      <c r="D16" s="90">
        <v>0.16209999999999999</v>
      </c>
      <c r="E16" s="90">
        <v>0.2162</v>
      </c>
      <c r="F16" s="88"/>
      <c r="G16" s="88"/>
      <c r="H16" s="68"/>
      <c r="I16" s="68"/>
      <c r="J16" s="68"/>
      <c r="K16" s="68"/>
      <c r="L16" s="68"/>
      <c r="M16" s="68"/>
      <c r="N16" s="68"/>
      <c r="O16" s="98"/>
      <c r="P16" s="98"/>
      <c r="Q16" s="98"/>
      <c r="R16" s="27"/>
      <c r="S16" s="27"/>
      <c r="T16" s="27"/>
      <c r="U16" s="27"/>
      <c r="V16" s="27"/>
      <c r="W16" s="27"/>
      <c r="X16" s="27"/>
      <c r="Y16" s="27"/>
      <c r="Z16" s="27"/>
      <c r="AA16" s="27"/>
      <c r="AB16" s="27"/>
      <c r="AC16" s="27"/>
      <c r="AD16" s="27"/>
      <c r="AE16" s="27"/>
      <c r="AF16" s="27"/>
      <c r="AG16" s="27"/>
      <c r="AH16" s="27"/>
    </row>
    <row r="17" spans="1:34" ht="14.85" customHeight="1">
      <c r="A17" s="90">
        <v>36</v>
      </c>
      <c r="B17" s="90">
        <v>45</v>
      </c>
      <c r="C17" s="90">
        <v>0.56769999999999998</v>
      </c>
      <c r="D17" s="90">
        <v>0.18909999999999999</v>
      </c>
      <c r="E17" s="90">
        <v>0.2432</v>
      </c>
      <c r="F17" s="88"/>
      <c r="G17" s="88"/>
      <c r="H17" s="68"/>
      <c r="I17" s="68"/>
      <c r="J17" s="68"/>
      <c r="K17" s="68"/>
      <c r="L17" s="68"/>
      <c r="M17" s="68"/>
      <c r="N17" s="68"/>
      <c r="O17" s="98"/>
      <c r="P17" s="98"/>
      <c r="Q17" s="98"/>
      <c r="R17" s="27"/>
      <c r="S17" s="27"/>
      <c r="T17" s="27"/>
      <c r="U17" s="27"/>
      <c r="V17" s="27"/>
      <c r="W17" s="27"/>
      <c r="X17" s="27"/>
      <c r="Y17" s="27"/>
      <c r="Z17" s="27"/>
      <c r="AA17" s="27"/>
      <c r="AB17" s="27"/>
      <c r="AC17" s="27"/>
      <c r="AD17" s="27"/>
      <c r="AE17" s="27"/>
      <c r="AF17" s="27"/>
      <c r="AG17" s="27"/>
      <c r="AH17" s="27"/>
    </row>
    <row r="18" spans="1:34" ht="14.85" customHeight="1">
      <c r="A18" s="90">
        <v>46</v>
      </c>
      <c r="B18" s="90">
        <v>50</v>
      </c>
      <c r="C18" s="90">
        <v>0.51359999999999995</v>
      </c>
      <c r="D18" s="90">
        <v>0.2162</v>
      </c>
      <c r="E18" s="90">
        <v>0.2702</v>
      </c>
      <c r="F18" s="88"/>
      <c r="G18" s="88"/>
      <c r="H18" s="68"/>
      <c r="I18" s="68"/>
      <c r="J18" s="68"/>
      <c r="K18" s="68"/>
      <c r="L18" s="68"/>
      <c r="M18" s="68"/>
      <c r="N18" s="68"/>
      <c r="O18" s="98"/>
      <c r="P18" s="98"/>
      <c r="Q18" s="98"/>
      <c r="R18" s="27"/>
      <c r="S18" s="27"/>
      <c r="T18" s="27"/>
      <c r="U18" s="27"/>
      <c r="V18" s="27"/>
      <c r="W18" s="27"/>
      <c r="X18" s="27"/>
      <c r="Y18" s="27"/>
      <c r="Z18" s="27"/>
      <c r="AA18" s="27"/>
      <c r="AB18" s="27"/>
      <c r="AC18" s="27"/>
      <c r="AD18" s="27"/>
      <c r="AE18" s="27"/>
      <c r="AF18" s="27"/>
      <c r="AG18" s="27"/>
      <c r="AH18" s="27"/>
    </row>
    <row r="19" spans="1:34">
      <c r="A19" s="90">
        <v>51</v>
      </c>
      <c r="B19" s="90">
        <v>55</v>
      </c>
      <c r="C19" s="90">
        <v>0.40550000000000003</v>
      </c>
      <c r="D19" s="90">
        <v>0.31080000000000002</v>
      </c>
      <c r="E19" s="90">
        <v>0.28370000000000001</v>
      </c>
      <c r="F19" s="88"/>
      <c r="G19" s="88"/>
      <c r="H19" s="68"/>
      <c r="I19" s="68"/>
      <c r="J19" s="68"/>
      <c r="K19" s="68"/>
      <c r="L19" s="68"/>
      <c r="M19" s="68"/>
      <c r="N19" s="68"/>
      <c r="O19" s="98"/>
      <c r="P19" s="98"/>
      <c r="Q19" s="98"/>
      <c r="R19" s="27"/>
      <c r="S19" s="27"/>
      <c r="T19" s="27"/>
      <c r="U19" s="27"/>
      <c r="V19" s="27"/>
      <c r="W19" s="27"/>
      <c r="X19" s="27"/>
      <c r="Y19" s="27"/>
      <c r="Z19" s="27"/>
      <c r="AA19" s="27"/>
      <c r="AB19" s="27"/>
      <c r="AC19" s="27"/>
      <c r="AD19" s="27"/>
      <c r="AE19" s="27"/>
      <c r="AF19" s="27"/>
      <c r="AG19" s="27"/>
      <c r="AH19" s="27"/>
    </row>
    <row r="20" spans="1:34">
      <c r="A20" s="90">
        <v>56</v>
      </c>
      <c r="B20" s="90">
        <v>60</v>
      </c>
      <c r="C20" s="90">
        <v>0.42859999999999998</v>
      </c>
      <c r="D20" s="90">
        <v>0.19639999999999999</v>
      </c>
      <c r="E20" s="90">
        <v>0.375</v>
      </c>
      <c r="F20" s="88"/>
      <c r="G20" s="88"/>
      <c r="H20" s="68"/>
      <c r="I20" s="68"/>
      <c r="J20" s="68"/>
      <c r="K20" s="68"/>
      <c r="L20" s="68"/>
      <c r="M20" s="68"/>
      <c r="N20" s="68"/>
      <c r="O20" s="98"/>
      <c r="P20" s="98"/>
      <c r="Q20" s="98"/>
      <c r="R20" s="27"/>
      <c r="S20" s="27"/>
      <c r="T20" s="27"/>
      <c r="U20" s="27"/>
      <c r="V20" s="27"/>
      <c r="W20" s="27"/>
      <c r="X20" s="27"/>
      <c r="Y20" s="27"/>
      <c r="Z20" s="27"/>
      <c r="AA20" s="27"/>
      <c r="AB20" s="27"/>
      <c r="AC20" s="27"/>
      <c r="AD20" s="27"/>
      <c r="AE20" s="27"/>
      <c r="AF20" s="27"/>
      <c r="AG20" s="27"/>
      <c r="AH20" s="27"/>
    </row>
    <row r="21" spans="1:34">
      <c r="A21" s="90">
        <v>61</v>
      </c>
      <c r="B21" s="90">
        <v>65</v>
      </c>
      <c r="C21" s="90">
        <v>0.1893</v>
      </c>
      <c r="D21" s="90">
        <v>0.2432</v>
      </c>
      <c r="E21" s="90">
        <v>0.5675</v>
      </c>
      <c r="F21" s="88"/>
      <c r="G21" s="88"/>
      <c r="H21" s="68"/>
      <c r="I21" s="68"/>
      <c r="J21" s="68"/>
      <c r="K21" s="68"/>
      <c r="L21" s="68"/>
      <c r="M21" s="68"/>
      <c r="N21" s="68"/>
      <c r="O21" s="98"/>
      <c r="P21" s="98"/>
      <c r="Q21" s="98"/>
      <c r="R21" s="27"/>
      <c r="S21" s="27"/>
      <c r="T21" s="27"/>
      <c r="U21" s="27"/>
      <c r="V21" s="27"/>
      <c r="W21" s="27"/>
      <c r="X21" s="27"/>
      <c r="Y21" s="27"/>
      <c r="Z21" s="27"/>
      <c r="AA21" s="27"/>
      <c r="AB21" s="27"/>
      <c r="AC21" s="27"/>
      <c r="AD21" s="27"/>
      <c r="AE21" s="27"/>
      <c r="AF21" s="27"/>
      <c r="AG21" s="27"/>
      <c r="AH21" s="27"/>
    </row>
    <row r="22" spans="1:34">
      <c r="A22" s="90">
        <v>66</v>
      </c>
      <c r="B22" s="90">
        <v>70</v>
      </c>
      <c r="C22" s="90">
        <v>7.1499999999999994E-2</v>
      </c>
      <c r="D22" s="90">
        <v>0.17849999999999999</v>
      </c>
      <c r="E22" s="90">
        <v>0.75</v>
      </c>
      <c r="F22" s="88"/>
      <c r="G22" s="88"/>
      <c r="H22" s="68"/>
      <c r="I22" s="68"/>
      <c r="J22" s="68"/>
      <c r="K22" s="68"/>
      <c r="L22" s="68"/>
      <c r="M22" s="68"/>
      <c r="N22" s="68"/>
      <c r="O22" s="98"/>
      <c r="P22" s="98"/>
      <c r="Q22" s="98"/>
      <c r="R22" s="27"/>
      <c r="S22" s="27"/>
      <c r="T22" s="27"/>
      <c r="U22" s="27"/>
      <c r="V22" s="27"/>
      <c r="W22" s="27"/>
      <c r="X22" s="27"/>
      <c r="Y22" s="27"/>
      <c r="Z22" s="27"/>
      <c r="AA22" s="27"/>
      <c r="AB22" s="27"/>
      <c r="AC22" s="27"/>
      <c r="AD22" s="27"/>
      <c r="AE22" s="27"/>
      <c r="AF22" s="27"/>
      <c r="AG22" s="27"/>
      <c r="AH22" s="27"/>
    </row>
    <row r="23" spans="1:34">
      <c r="A23" s="90">
        <v>71</v>
      </c>
      <c r="B23" s="90">
        <v>100</v>
      </c>
      <c r="C23" s="90">
        <v>0.08</v>
      </c>
      <c r="D23" s="90">
        <v>0.08</v>
      </c>
      <c r="E23" s="90">
        <v>0.84</v>
      </c>
      <c r="F23" s="88"/>
      <c r="G23" s="88"/>
      <c r="H23" s="68"/>
      <c r="I23" s="68"/>
      <c r="J23" s="68"/>
      <c r="K23" s="68"/>
      <c r="L23" s="68"/>
      <c r="M23" s="68"/>
      <c r="N23" s="68"/>
      <c r="O23" s="98"/>
      <c r="P23" s="98"/>
      <c r="Q23" s="98"/>
      <c r="R23" s="27"/>
      <c r="S23" s="27"/>
      <c r="T23" s="27"/>
      <c r="U23" s="27"/>
      <c r="V23" s="27"/>
      <c r="W23" s="27"/>
      <c r="X23" s="27"/>
      <c r="Y23" s="27"/>
      <c r="Z23" s="27"/>
      <c r="AA23" s="27"/>
      <c r="AB23" s="27"/>
      <c r="AC23" s="27"/>
      <c r="AD23" s="27"/>
      <c r="AE23" s="27"/>
      <c r="AF23" s="27"/>
      <c r="AG23" s="27"/>
      <c r="AH23" s="27"/>
    </row>
    <row r="24" spans="1:34">
      <c r="A24" s="68"/>
      <c r="B24" s="68"/>
      <c r="C24" s="87"/>
      <c r="D24" s="87"/>
      <c r="E24" s="87"/>
      <c r="F24" s="88"/>
      <c r="G24" s="88"/>
      <c r="H24" s="68"/>
      <c r="I24" s="68"/>
      <c r="J24" s="68"/>
      <c r="K24" s="68"/>
      <c r="L24" s="68"/>
      <c r="M24" s="68"/>
      <c r="N24" s="68"/>
      <c r="O24" s="98"/>
      <c r="P24" s="98"/>
      <c r="Q24" s="98"/>
      <c r="R24" s="27"/>
      <c r="S24" s="27"/>
      <c r="T24" s="27"/>
      <c r="U24" s="27"/>
      <c r="V24" s="27"/>
      <c r="W24" s="27"/>
      <c r="X24" s="27"/>
      <c r="Y24" s="27"/>
      <c r="Z24" s="27"/>
      <c r="AA24" s="27"/>
      <c r="AB24" s="27"/>
      <c r="AC24" s="27"/>
      <c r="AD24" s="27"/>
      <c r="AE24" s="27"/>
      <c r="AF24" s="27"/>
      <c r="AG24" s="27"/>
      <c r="AH24" s="27"/>
    </row>
    <row r="25" spans="1:34">
      <c r="A25" s="27"/>
      <c r="B25" s="27"/>
      <c r="C25" s="142"/>
      <c r="D25" s="142"/>
      <c r="E25" s="142"/>
      <c r="F25" s="120"/>
      <c r="G25" s="120"/>
      <c r="H25" s="27"/>
      <c r="I25" s="27"/>
      <c r="J25" s="27"/>
      <c r="K25" s="27"/>
      <c r="L25" s="27"/>
      <c r="M25" s="27"/>
      <c r="N25" s="27"/>
      <c r="O25" s="143"/>
      <c r="P25" s="143"/>
      <c r="Q25" s="143"/>
      <c r="R25" s="27"/>
      <c r="S25" s="27"/>
      <c r="T25" s="27"/>
      <c r="U25" s="27"/>
      <c r="V25" s="27"/>
      <c r="W25" s="27"/>
      <c r="X25" s="27"/>
      <c r="Y25" s="27"/>
      <c r="Z25" s="27"/>
      <c r="AA25" s="27"/>
      <c r="AB25" s="27"/>
      <c r="AC25" s="27"/>
      <c r="AD25" s="27"/>
      <c r="AE25" s="27"/>
      <c r="AF25" s="27"/>
      <c r="AG25" s="27"/>
      <c r="AH25" s="27"/>
    </row>
    <row r="26" spans="1:34">
      <c r="A26" s="27"/>
      <c r="B26" s="27"/>
      <c r="C26" s="142"/>
      <c r="D26" s="142"/>
      <c r="E26" s="142"/>
      <c r="F26" s="120"/>
      <c r="G26" s="120"/>
      <c r="H26" s="27"/>
      <c r="I26" s="27"/>
      <c r="J26" s="27"/>
      <c r="K26" s="27"/>
      <c r="L26" s="27"/>
      <c r="M26" s="27"/>
      <c r="N26" s="27"/>
      <c r="O26" s="143"/>
      <c r="P26" s="143"/>
      <c r="Q26" s="143"/>
      <c r="R26" s="27"/>
      <c r="S26" s="27"/>
      <c r="T26" s="27"/>
      <c r="U26" s="27"/>
      <c r="V26" s="27"/>
      <c r="W26" s="27"/>
      <c r="X26" s="27"/>
      <c r="Y26" s="27"/>
      <c r="Z26" s="27"/>
      <c r="AA26" s="27"/>
      <c r="AB26" s="27"/>
      <c r="AC26" s="27"/>
      <c r="AD26" s="27"/>
      <c r="AE26" s="27"/>
      <c r="AF26" s="27"/>
      <c r="AG26" s="27"/>
      <c r="AH26" s="27"/>
    </row>
    <row r="27" spans="1:34">
      <c r="A27" s="27"/>
      <c r="B27" s="27"/>
      <c r="C27" s="142"/>
      <c r="D27" s="142"/>
      <c r="E27" s="142"/>
      <c r="F27" s="120"/>
      <c r="G27" s="120"/>
      <c r="H27" s="27"/>
      <c r="I27" s="27"/>
      <c r="J27" s="27"/>
      <c r="K27" s="27"/>
      <c r="L27" s="27"/>
      <c r="M27" s="27"/>
      <c r="N27" s="27"/>
      <c r="O27" s="143"/>
      <c r="P27" s="143"/>
      <c r="Q27" s="143"/>
      <c r="R27" s="27"/>
      <c r="S27" s="27"/>
      <c r="T27" s="27"/>
      <c r="U27" s="27"/>
      <c r="V27" s="27"/>
      <c r="W27" s="27"/>
      <c r="X27" s="27"/>
      <c r="Y27" s="27"/>
      <c r="Z27" s="27"/>
      <c r="AA27" s="27"/>
      <c r="AB27" s="27"/>
      <c r="AC27" s="27"/>
      <c r="AD27" s="27"/>
      <c r="AE27" s="27"/>
      <c r="AF27" s="27"/>
      <c r="AG27" s="27"/>
      <c r="AH27" s="27"/>
    </row>
    <row r="28" spans="1:34">
      <c r="A28" s="27"/>
      <c r="B28" s="27"/>
      <c r="C28" s="142"/>
      <c r="D28" s="142"/>
      <c r="E28" s="142"/>
      <c r="F28" s="120"/>
      <c r="G28" s="120"/>
      <c r="H28" s="27"/>
      <c r="I28" s="27"/>
      <c r="J28" s="27"/>
      <c r="K28" s="27"/>
      <c r="L28" s="27"/>
      <c r="M28" s="27"/>
      <c r="N28" s="27"/>
      <c r="O28" s="143"/>
      <c r="P28" s="143"/>
      <c r="Q28" s="143"/>
      <c r="R28" s="27"/>
      <c r="S28" s="27"/>
      <c r="T28" s="27"/>
      <c r="U28" s="27"/>
      <c r="V28" s="27"/>
      <c r="W28" s="27"/>
      <c r="X28" s="27"/>
      <c r="Y28" s="27"/>
      <c r="Z28" s="27"/>
      <c r="AA28" s="27"/>
      <c r="AB28" s="27"/>
      <c r="AC28" s="27"/>
      <c r="AD28" s="27"/>
      <c r="AE28" s="27"/>
      <c r="AF28" s="27"/>
      <c r="AG28" s="27"/>
      <c r="AH28" s="27"/>
    </row>
    <row r="29" spans="1:34">
      <c r="A29" s="27"/>
      <c r="B29" s="27"/>
      <c r="C29" s="142"/>
      <c r="D29" s="142"/>
      <c r="E29" s="142"/>
      <c r="F29" s="120"/>
      <c r="G29" s="120"/>
      <c r="H29" s="27"/>
      <c r="I29" s="27"/>
      <c r="J29" s="27"/>
      <c r="K29" s="27"/>
      <c r="L29" s="27"/>
      <c r="M29" s="27"/>
      <c r="N29" s="27"/>
      <c r="O29" s="143"/>
      <c r="P29" s="143"/>
      <c r="Q29" s="143"/>
      <c r="R29" s="27"/>
      <c r="S29" s="27"/>
      <c r="T29" s="27"/>
      <c r="U29" s="27"/>
      <c r="V29" s="27"/>
      <c r="W29" s="27"/>
      <c r="X29" s="27"/>
      <c r="Y29" s="27"/>
      <c r="Z29" s="27"/>
      <c r="AA29" s="27"/>
      <c r="AB29" s="27"/>
      <c r="AC29" s="27"/>
      <c r="AD29" s="27"/>
      <c r="AE29" s="27"/>
      <c r="AF29" s="27"/>
      <c r="AG29" s="27"/>
      <c r="AH29" s="27"/>
    </row>
    <row r="30" spans="1:34">
      <c r="A30" s="27"/>
      <c r="B30" s="27"/>
      <c r="C30" s="142"/>
      <c r="D30" s="142"/>
      <c r="E30" s="142"/>
      <c r="F30" s="120"/>
      <c r="G30" s="120"/>
      <c r="H30" s="27"/>
      <c r="I30" s="27"/>
      <c r="J30" s="27"/>
      <c r="K30" s="27"/>
      <c r="L30" s="27"/>
      <c r="M30" s="27"/>
      <c r="N30" s="27"/>
      <c r="O30" s="143"/>
      <c r="P30" s="143"/>
      <c r="Q30" s="143"/>
      <c r="R30" s="27"/>
      <c r="S30" s="27"/>
      <c r="T30" s="27"/>
      <c r="U30" s="27"/>
      <c r="V30" s="27"/>
      <c r="W30" s="27"/>
      <c r="X30" s="27"/>
      <c r="Y30" s="27"/>
      <c r="Z30" s="27"/>
      <c r="AA30" s="27"/>
      <c r="AB30" s="27"/>
      <c r="AC30" s="27"/>
      <c r="AD30" s="27"/>
      <c r="AE30" s="27"/>
      <c r="AF30" s="27"/>
      <c r="AG30" s="27"/>
      <c r="AH30" s="27"/>
    </row>
    <row r="31" spans="1:34">
      <c r="A31" s="27"/>
      <c r="B31" s="27"/>
      <c r="C31" s="142"/>
      <c r="D31" s="142"/>
      <c r="E31" s="142"/>
      <c r="F31" s="120"/>
      <c r="G31" s="120"/>
      <c r="H31" s="27"/>
      <c r="I31" s="27"/>
      <c r="J31" s="27"/>
      <c r="K31" s="27"/>
      <c r="L31" s="27"/>
      <c r="M31" s="27"/>
      <c r="N31" s="27"/>
      <c r="O31" s="143"/>
      <c r="P31" s="143"/>
      <c r="Q31" s="143"/>
      <c r="R31" s="27"/>
      <c r="S31" s="27"/>
      <c r="T31" s="27"/>
      <c r="U31" s="27"/>
      <c r="V31" s="27"/>
      <c r="W31" s="27"/>
      <c r="X31" s="27"/>
      <c r="Y31" s="27"/>
      <c r="Z31" s="27"/>
      <c r="AA31" s="27"/>
      <c r="AB31" s="27"/>
      <c r="AC31" s="27"/>
      <c r="AD31" s="27"/>
      <c r="AE31" s="27"/>
      <c r="AF31" s="27"/>
      <c r="AG31" s="27"/>
      <c r="AH31" s="27"/>
    </row>
    <row r="32" spans="1:34">
      <c r="A32" s="27"/>
      <c r="B32" s="27"/>
      <c r="C32" s="142"/>
      <c r="D32" s="142"/>
      <c r="E32" s="142"/>
      <c r="F32" s="120"/>
      <c r="G32" s="120"/>
      <c r="H32" s="27"/>
      <c r="I32" s="27"/>
      <c r="J32" s="27"/>
      <c r="K32" s="27"/>
      <c r="L32" s="27"/>
      <c r="M32" s="27"/>
      <c r="N32" s="27"/>
      <c r="O32" s="143"/>
      <c r="P32" s="143"/>
      <c r="Q32" s="143"/>
      <c r="R32" s="27"/>
      <c r="S32" s="27"/>
      <c r="T32" s="27"/>
      <c r="U32" s="27"/>
      <c r="V32" s="27"/>
      <c r="W32" s="27"/>
      <c r="X32" s="27"/>
      <c r="Y32" s="27"/>
      <c r="Z32" s="27"/>
      <c r="AA32" s="27"/>
      <c r="AB32" s="27"/>
      <c r="AC32" s="27"/>
      <c r="AD32" s="27"/>
      <c r="AE32" s="27"/>
      <c r="AF32" s="27"/>
      <c r="AG32" s="27"/>
      <c r="AH32" s="27"/>
    </row>
    <row r="33" spans="1:34">
      <c r="A33" s="142"/>
      <c r="B33" s="142"/>
      <c r="C33" s="143"/>
      <c r="D33" s="143"/>
      <c r="E33" s="143"/>
      <c r="F33" s="120"/>
      <c r="G33" s="120"/>
      <c r="H33" s="27"/>
      <c r="I33" s="27"/>
      <c r="J33" s="27"/>
      <c r="K33" s="27"/>
      <c r="L33" s="27"/>
      <c r="M33" s="27"/>
      <c r="N33" s="27"/>
      <c r="O33" s="143"/>
      <c r="P33" s="143"/>
      <c r="Q33" s="143"/>
      <c r="R33" s="27"/>
      <c r="S33" s="27"/>
      <c r="T33" s="27"/>
      <c r="U33" s="27"/>
      <c r="V33" s="27"/>
      <c r="W33" s="27"/>
      <c r="X33" s="27"/>
      <c r="Y33" s="27"/>
      <c r="Z33" s="27"/>
      <c r="AA33" s="27"/>
      <c r="AB33" s="27"/>
      <c r="AC33" s="27"/>
      <c r="AD33" s="27"/>
      <c r="AE33" s="27"/>
      <c r="AF33" s="27"/>
      <c r="AG33" s="27"/>
      <c r="AH33" s="27"/>
    </row>
    <row r="34" spans="1:34">
      <c r="A34" s="27"/>
      <c r="B34" s="144"/>
      <c r="C34" s="143"/>
      <c r="D34" s="143"/>
      <c r="E34" s="143"/>
      <c r="F34" s="120"/>
      <c r="G34" s="120"/>
      <c r="H34" s="27"/>
      <c r="I34" s="27"/>
      <c r="J34" s="27"/>
      <c r="K34" s="27"/>
      <c r="L34" s="27"/>
      <c r="M34" s="27"/>
      <c r="N34" s="27"/>
      <c r="O34" s="143"/>
      <c r="P34" s="143"/>
      <c r="Q34" s="143"/>
      <c r="R34" s="27"/>
      <c r="S34" s="27"/>
      <c r="T34" s="27"/>
      <c r="U34" s="27"/>
      <c r="V34" s="27"/>
      <c r="W34" s="27"/>
      <c r="X34" s="27"/>
      <c r="Y34" s="27"/>
      <c r="Z34" s="27"/>
      <c r="AA34" s="27"/>
      <c r="AB34" s="27"/>
      <c r="AC34" s="27"/>
      <c r="AD34" s="27"/>
      <c r="AE34" s="27"/>
      <c r="AF34" s="27"/>
      <c r="AG34" s="27"/>
      <c r="AH34" s="27"/>
    </row>
    <row r="35" spans="1:34">
      <c r="C35" s="52"/>
      <c r="D35" s="52"/>
      <c r="E35" s="52"/>
      <c r="R35" s="27"/>
      <c r="S35" s="27"/>
      <c r="T35" s="27"/>
      <c r="U35" s="27"/>
      <c r="V35" s="27"/>
      <c r="W35" s="27"/>
      <c r="X35" s="27"/>
      <c r="Y35" s="27"/>
      <c r="Z35" s="27"/>
      <c r="AA35" s="27"/>
      <c r="AB35" s="27"/>
      <c r="AC35" s="27"/>
      <c r="AD35" s="27"/>
      <c r="AE35" s="27"/>
      <c r="AF35" s="27"/>
      <c r="AG35" s="27"/>
      <c r="AH35" s="27"/>
    </row>
    <row r="36" spans="1:34">
      <c r="C36" s="52"/>
      <c r="D36" s="52"/>
      <c r="E36" s="52"/>
      <c r="R36" s="27"/>
      <c r="S36" s="27"/>
      <c r="T36" s="27"/>
      <c r="U36" s="27"/>
      <c r="V36" s="27"/>
      <c r="W36" s="27"/>
      <c r="X36" s="27"/>
      <c r="Y36" s="27"/>
      <c r="Z36" s="27"/>
      <c r="AA36" s="27"/>
      <c r="AB36" s="27"/>
      <c r="AC36" s="27"/>
      <c r="AD36" s="27"/>
      <c r="AE36" s="27"/>
      <c r="AF36" s="27"/>
      <c r="AG36" s="27"/>
      <c r="AH36" s="27"/>
    </row>
    <row r="37" spans="1:34">
      <c r="C37" s="52"/>
      <c r="D37" s="52"/>
      <c r="E37" s="52"/>
      <c r="R37" s="27"/>
      <c r="S37" s="27"/>
      <c r="T37" s="27"/>
      <c r="U37" s="27"/>
      <c r="V37" s="27"/>
      <c r="W37" s="27"/>
      <c r="X37" s="27"/>
      <c r="Y37" s="27"/>
      <c r="Z37" s="27"/>
      <c r="AA37" s="27"/>
      <c r="AB37" s="27"/>
      <c r="AC37" s="27"/>
      <c r="AD37" s="27"/>
      <c r="AE37" s="27"/>
      <c r="AF37" s="27"/>
      <c r="AG37" s="27"/>
      <c r="AH37" s="27"/>
    </row>
    <row r="38" spans="1:34">
      <c r="C38" s="52"/>
      <c r="D38" s="52"/>
      <c r="E38" s="52"/>
      <c r="R38" s="27"/>
      <c r="S38" s="27"/>
      <c r="T38" s="27"/>
      <c r="U38" s="27"/>
      <c r="V38" s="27"/>
      <c r="W38" s="27"/>
      <c r="X38" s="27"/>
      <c r="Y38" s="27"/>
      <c r="Z38" s="27"/>
      <c r="AA38" s="27"/>
      <c r="AB38" s="27"/>
      <c r="AC38" s="27"/>
      <c r="AD38" s="27"/>
      <c r="AE38" s="27"/>
      <c r="AF38" s="27"/>
      <c r="AG38" s="27"/>
      <c r="AH38" s="27"/>
    </row>
    <row r="39" spans="1:34">
      <c r="C39" s="52"/>
      <c r="D39" s="52"/>
      <c r="E39" s="52"/>
      <c r="R39" s="27"/>
      <c r="S39" s="27"/>
      <c r="T39" s="27"/>
      <c r="U39" s="27"/>
      <c r="V39" s="27"/>
      <c r="W39" s="27"/>
      <c r="X39" s="27"/>
      <c r="Y39" s="27"/>
      <c r="Z39" s="27"/>
      <c r="AA39" s="27"/>
      <c r="AB39" s="27"/>
      <c r="AC39" s="27"/>
      <c r="AD39" s="27"/>
      <c r="AE39" s="27"/>
      <c r="AF39" s="27"/>
      <c r="AG39" s="27"/>
      <c r="AH39" s="27"/>
    </row>
    <row r="40" spans="1:34">
      <c r="R40" s="27"/>
      <c r="S40" s="27"/>
      <c r="T40" s="27"/>
      <c r="U40" s="27"/>
      <c r="V40" s="27"/>
      <c r="W40" s="27"/>
      <c r="X40" s="27"/>
      <c r="Y40" s="27"/>
      <c r="Z40" s="27"/>
      <c r="AA40" s="27"/>
      <c r="AB40" s="27"/>
      <c r="AC40" s="27"/>
      <c r="AD40" s="27"/>
      <c r="AE40" s="27"/>
      <c r="AF40" s="27"/>
      <c r="AG40" s="27"/>
      <c r="AH40" s="27"/>
    </row>
  </sheetData>
  <sheetProtection sheet="1" objects="1" scenarios="1"/>
  <mergeCells count="6">
    <mergeCell ref="A14:B14"/>
    <mergeCell ref="C14:E14"/>
    <mergeCell ref="A13:E13"/>
    <mergeCell ref="A2:G2"/>
    <mergeCell ref="G12:I12"/>
    <mergeCell ref="I6:K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06603-5E7D-46E9-8FC7-829E03FEB4C0}">
  <sheetPr codeName="Sheet6"/>
  <dimension ref="A1:F367"/>
  <sheetViews>
    <sheetView workbookViewId="0">
      <selection activeCell="F11" sqref="F11"/>
    </sheetView>
  </sheetViews>
  <sheetFormatPr defaultRowHeight="15"/>
  <cols>
    <col min="1" max="1" width="11.5703125" customWidth="1"/>
  </cols>
  <sheetData>
    <row r="1" spans="1:6">
      <c r="A1" s="70" t="s">
        <v>118</v>
      </c>
      <c r="D1" s="70" t="s">
        <v>119</v>
      </c>
    </row>
    <row r="2" spans="1:6">
      <c r="A2" t="s">
        <v>31</v>
      </c>
      <c r="B2" t="s">
        <v>120</v>
      </c>
      <c r="D2" t="s">
        <v>2</v>
      </c>
      <c r="E2" t="s">
        <v>121</v>
      </c>
      <c r="F2" t="s">
        <v>122</v>
      </c>
    </row>
    <row r="3" spans="1:6">
      <c r="A3" s="7">
        <v>44562</v>
      </c>
      <c r="B3" s="147">
        <v>0</v>
      </c>
      <c r="D3">
        <v>1</v>
      </c>
      <c r="E3" s="147">
        <v>0</v>
      </c>
      <c r="F3" s="52">
        <v>0</v>
      </c>
    </row>
    <row r="4" spans="1:6">
      <c r="A4" s="7">
        <v>44563</v>
      </c>
      <c r="B4" s="147">
        <v>0</v>
      </c>
      <c r="D4">
        <v>2</v>
      </c>
      <c r="E4" s="147">
        <v>0</v>
      </c>
      <c r="F4" s="52">
        <v>0</v>
      </c>
    </row>
    <row r="5" spans="1:6">
      <c r="A5" s="7">
        <v>44564</v>
      </c>
      <c r="B5" s="147">
        <v>0</v>
      </c>
      <c r="D5">
        <v>3</v>
      </c>
      <c r="E5" s="147">
        <v>0</v>
      </c>
      <c r="F5" s="52">
        <v>0</v>
      </c>
    </row>
    <row r="6" spans="1:6">
      <c r="A6" s="7">
        <v>44565</v>
      </c>
      <c r="B6" s="147">
        <v>0</v>
      </c>
      <c r="D6">
        <v>4</v>
      </c>
      <c r="E6" s="147">
        <v>0</v>
      </c>
      <c r="F6" s="52">
        <v>0</v>
      </c>
    </row>
    <row r="7" spans="1:6">
      <c r="A7" s="7">
        <v>44566</v>
      </c>
      <c r="B7" s="147">
        <v>0</v>
      </c>
      <c r="D7">
        <v>5</v>
      </c>
      <c r="E7" s="147">
        <v>0</v>
      </c>
      <c r="F7" s="52">
        <v>0</v>
      </c>
    </row>
    <row r="8" spans="1:6">
      <c r="A8" s="7">
        <v>44567</v>
      </c>
      <c r="B8" s="147">
        <v>0</v>
      </c>
      <c r="D8">
        <v>6</v>
      </c>
      <c r="E8" s="147">
        <v>0</v>
      </c>
      <c r="F8" s="52">
        <v>0</v>
      </c>
    </row>
    <row r="9" spans="1:6">
      <c r="A9" s="7">
        <v>44568</v>
      </c>
      <c r="B9" s="147">
        <v>0</v>
      </c>
      <c r="D9">
        <v>7</v>
      </c>
      <c r="E9" s="147">
        <v>0</v>
      </c>
      <c r="F9" s="52">
        <v>0</v>
      </c>
    </row>
    <row r="10" spans="1:6">
      <c r="A10" s="7">
        <v>44569</v>
      </c>
      <c r="B10" s="147">
        <v>0</v>
      </c>
      <c r="D10">
        <v>8</v>
      </c>
      <c r="E10" s="147">
        <v>0</v>
      </c>
      <c r="F10" s="52">
        <v>0</v>
      </c>
    </row>
    <row r="11" spans="1:6">
      <c r="A11" s="7">
        <v>44570</v>
      </c>
      <c r="B11" s="147">
        <v>0</v>
      </c>
      <c r="D11">
        <v>9</v>
      </c>
      <c r="E11" s="147">
        <v>0</v>
      </c>
      <c r="F11" s="52">
        <v>0</v>
      </c>
    </row>
    <row r="12" spans="1:6">
      <c r="A12" s="7">
        <v>44571</v>
      </c>
      <c r="B12" s="147">
        <v>0</v>
      </c>
      <c r="D12">
        <v>10</v>
      </c>
      <c r="E12" s="147">
        <v>0</v>
      </c>
      <c r="F12" s="52">
        <v>0</v>
      </c>
    </row>
    <row r="13" spans="1:6">
      <c r="A13" s="7">
        <v>44572</v>
      </c>
      <c r="B13" s="147">
        <v>0</v>
      </c>
      <c r="D13">
        <v>11</v>
      </c>
      <c r="E13" s="147">
        <v>0</v>
      </c>
      <c r="F13" s="52">
        <v>0</v>
      </c>
    </row>
    <row r="14" spans="1:6">
      <c r="A14" s="7">
        <v>44573</v>
      </c>
      <c r="B14" s="147">
        <v>0</v>
      </c>
      <c r="D14">
        <v>12</v>
      </c>
      <c r="E14" s="147">
        <v>0</v>
      </c>
      <c r="F14" s="52">
        <v>0</v>
      </c>
    </row>
    <row r="15" spans="1:6">
      <c r="A15" s="7">
        <v>44574</v>
      </c>
      <c r="B15" s="147">
        <v>0</v>
      </c>
    </row>
    <row r="16" spans="1:6">
      <c r="A16" s="7">
        <v>44575</v>
      </c>
      <c r="B16" s="147">
        <v>0</v>
      </c>
      <c r="D16" s="70" t="s">
        <v>10</v>
      </c>
    </row>
    <row r="17" spans="1:5">
      <c r="A17" s="7">
        <v>44576</v>
      </c>
      <c r="B17" s="147">
        <v>0</v>
      </c>
      <c r="D17" t="s">
        <v>2</v>
      </c>
    </row>
    <row r="18" spans="1:5">
      <c r="A18" s="7">
        <v>44577</v>
      </c>
      <c r="B18" s="147">
        <v>0</v>
      </c>
      <c r="D18">
        <v>1</v>
      </c>
      <c r="E18">
        <v>3500</v>
      </c>
    </row>
    <row r="19" spans="1:5">
      <c r="A19" s="7">
        <v>44578</v>
      </c>
      <c r="B19" s="147">
        <v>0</v>
      </c>
      <c r="D19">
        <v>2</v>
      </c>
      <c r="E19">
        <v>5000</v>
      </c>
    </row>
    <row r="20" spans="1:5">
      <c r="A20" s="7">
        <v>44579</v>
      </c>
      <c r="B20" s="147">
        <v>0</v>
      </c>
      <c r="D20">
        <v>3</v>
      </c>
      <c r="E20">
        <v>5000</v>
      </c>
    </row>
    <row r="21" spans="1:5">
      <c r="A21" s="7">
        <v>44580</v>
      </c>
      <c r="B21" s="147">
        <v>0</v>
      </c>
      <c r="D21">
        <v>4</v>
      </c>
      <c r="E21">
        <v>5000</v>
      </c>
    </row>
    <row r="22" spans="1:5">
      <c r="A22" s="7">
        <v>44581</v>
      </c>
      <c r="B22" s="147">
        <v>0</v>
      </c>
      <c r="D22">
        <v>5</v>
      </c>
      <c r="E22">
        <v>5000</v>
      </c>
    </row>
    <row r="23" spans="1:5">
      <c r="A23" s="7">
        <v>44582</v>
      </c>
      <c r="B23" s="147">
        <v>0</v>
      </c>
      <c r="D23">
        <v>6</v>
      </c>
      <c r="E23">
        <v>5000</v>
      </c>
    </row>
    <row r="24" spans="1:5">
      <c r="A24" s="7">
        <v>44583</v>
      </c>
      <c r="B24" s="147">
        <v>0</v>
      </c>
      <c r="D24">
        <v>7</v>
      </c>
      <c r="E24">
        <v>5000</v>
      </c>
    </row>
    <row r="25" spans="1:5">
      <c r="A25" s="7">
        <v>44584</v>
      </c>
      <c r="B25" s="147">
        <v>0</v>
      </c>
      <c r="D25">
        <v>8</v>
      </c>
      <c r="E25">
        <v>5000</v>
      </c>
    </row>
    <row r="26" spans="1:5">
      <c r="A26" s="7">
        <v>44585</v>
      </c>
      <c r="B26" s="147">
        <v>0</v>
      </c>
      <c r="D26">
        <v>9</v>
      </c>
      <c r="E26">
        <v>5000</v>
      </c>
    </row>
    <row r="27" spans="1:5">
      <c r="A27" s="7">
        <v>44586</v>
      </c>
      <c r="B27" s="147">
        <v>0</v>
      </c>
      <c r="D27">
        <v>10</v>
      </c>
      <c r="E27">
        <v>5000</v>
      </c>
    </row>
    <row r="28" spans="1:5">
      <c r="A28" s="7">
        <v>44587</v>
      </c>
      <c r="B28" s="147">
        <v>0</v>
      </c>
      <c r="D28">
        <v>11</v>
      </c>
      <c r="E28">
        <v>5000</v>
      </c>
    </row>
    <row r="29" spans="1:5">
      <c r="A29" s="7">
        <v>44588</v>
      </c>
      <c r="B29" s="147">
        <v>0</v>
      </c>
      <c r="D29">
        <v>12</v>
      </c>
      <c r="E29">
        <v>5000</v>
      </c>
    </row>
    <row r="30" spans="1:5">
      <c r="A30" s="7">
        <v>44589</v>
      </c>
      <c r="B30" s="147">
        <v>0</v>
      </c>
    </row>
    <row r="31" spans="1:5">
      <c r="A31" s="7">
        <v>44590</v>
      </c>
      <c r="B31" s="147">
        <v>0</v>
      </c>
    </row>
    <row r="32" spans="1:5">
      <c r="A32" s="7">
        <v>44591</v>
      </c>
      <c r="B32" s="147">
        <v>0</v>
      </c>
    </row>
    <row r="33" spans="1:2">
      <c r="A33" s="7">
        <v>44592</v>
      </c>
      <c r="B33" s="147">
        <v>0</v>
      </c>
    </row>
    <row r="34" spans="1:2">
      <c r="A34" s="7">
        <v>44593</v>
      </c>
      <c r="B34" s="147">
        <v>0</v>
      </c>
    </row>
    <row r="35" spans="1:2">
      <c r="A35" s="7">
        <v>44594</v>
      </c>
      <c r="B35" s="147">
        <v>0</v>
      </c>
    </row>
    <row r="36" spans="1:2">
      <c r="A36" s="7">
        <v>44595</v>
      </c>
      <c r="B36" s="147">
        <v>0</v>
      </c>
    </row>
    <row r="37" spans="1:2">
      <c r="A37" s="7">
        <v>44596</v>
      </c>
      <c r="B37" s="147">
        <v>0</v>
      </c>
    </row>
    <row r="38" spans="1:2">
      <c r="A38" s="7">
        <v>44597</v>
      </c>
      <c r="B38" s="147">
        <v>0</v>
      </c>
    </row>
    <row r="39" spans="1:2">
      <c r="A39" s="7">
        <v>44598</v>
      </c>
      <c r="B39" s="147">
        <v>0</v>
      </c>
    </row>
    <row r="40" spans="1:2">
      <c r="A40" s="7">
        <v>44599</v>
      </c>
      <c r="B40" s="147">
        <v>0</v>
      </c>
    </row>
    <row r="41" spans="1:2">
      <c r="A41" s="7">
        <v>44600</v>
      </c>
      <c r="B41" s="147">
        <v>0</v>
      </c>
    </row>
    <row r="42" spans="1:2">
      <c r="A42" s="7">
        <v>44601</v>
      </c>
      <c r="B42" s="147">
        <v>0</v>
      </c>
    </row>
    <row r="43" spans="1:2">
      <c r="A43" s="7">
        <v>44602</v>
      </c>
      <c r="B43" s="147">
        <v>0</v>
      </c>
    </row>
    <row r="44" spans="1:2">
      <c r="A44" s="7">
        <v>44603</v>
      </c>
      <c r="B44" s="147">
        <v>0</v>
      </c>
    </row>
    <row r="45" spans="1:2">
      <c r="A45" s="7">
        <v>44604</v>
      </c>
      <c r="B45" s="147">
        <v>0</v>
      </c>
    </row>
    <row r="46" spans="1:2">
      <c r="A46" s="7">
        <v>44605</v>
      </c>
      <c r="B46" s="147">
        <v>0</v>
      </c>
    </row>
    <row r="47" spans="1:2">
      <c r="A47" s="7">
        <v>44606</v>
      </c>
      <c r="B47" s="147">
        <v>0</v>
      </c>
    </row>
    <row r="48" spans="1:2">
      <c r="A48" s="7">
        <v>44607</v>
      </c>
      <c r="B48" s="147">
        <v>0</v>
      </c>
    </row>
    <row r="49" spans="1:2">
      <c r="A49" s="7">
        <v>44608</v>
      </c>
      <c r="B49" s="147">
        <v>0</v>
      </c>
    </row>
    <row r="50" spans="1:2">
      <c r="A50" s="7">
        <v>44609</v>
      </c>
      <c r="B50" s="147">
        <v>0</v>
      </c>
    </row>
    <row r="51" spans="1:2">
      <c r="A51" s="7">
        <v>44610</v>
      </c>
      <c r="B51" s="147">
        <v>0</v>
      </c>
    </row>
    <row r="52" spans="1:2">
      <c r="A52" s="7">
        <v>44611</v>
      </c>
      <c r="B52" s="147">
        <v>0</v>
      </c>
    </row>
    <row r="53" spans="1:2">
      <c r="A53" s="7">
        <v>44612</v>
      </c>
      <c r="B53" s="147">
        <v>0</v>
      </c>
    </row>
    <row r="54" spans="1:2">
      <c r="A54" s="7">
        <v>44613</v>
      </c>
      <c r="B54" s="147">
        <v>0</v>
      </c>
    </row>
    <row r="55" spans="1:2">
      <c r="A55" s="7">
        <v>44614</v>
      </c>
      <c r="B55" s="147">
        <v>0</v>
      </c>
    </row>
    <row r="56" spans="1:2">
      <c r="A56" s="7">
        <v>44615</v>
      </c>
      <c r="B56" s="147">
        <v>0</v>
      </c>
    </row>
    <row r="57" spans="1:2">
      <c r="A57" s="7">
        <v>44616</v>
      </c>
      <c r="B57" s="147">
        <v>0</v>
      </c>
    </row>
    <row r="58" spans="1:2">
      <c r="A58" s="7">
        <v>44617</v>
      </c>
      <c r="B58" s="147">
        <v>0</v>
      </c>
    </row>
    <row r="59" spans="1:2">
      <c r="A59" s="7">
        <v>44618</v>
      </c>
      <c r="B59" s="147">
        <v>0</v>
      </c>
    </row>
    <row r="60" spans="1:2">
      <c r="A60" s="7">
        <v>44619</v>
      </c>
      <c r="B60" s="147">
        <v>0</v>
      </c>
    </row>
    <row r="61" spans="1:2">
      <c r="A61" s="7">
        <v>44620</v>
      </c>
      <c r="B61" s="147">
        <v>0</v>
      </c>
    </row>
    <row r="62" spans="1:2">
      <c r="A62" s="7">
        <v>44621</v>
      </c>
      <c r="B62" s="147">
        <v>0</v>
      </c>
    </row>
    <row r="63" spans="1:2">
      <c r="A63" s="7">
        <v>44622</v>
      </c>
      <c r="B63" s="147">
        <v>0</v>
      </c>
    </row>
    <row r="64" spans="1:2">
      <c r="A64" s="7">
        <v>44623</v>
      </c>
      <c r="B64" s="147">
        <v>0</v>
      </c>
    </row>
    <row r="65" spans="1:2">
      <c r="A65" s="7">
        <v>44624</v>
      </c>
      <c r="B65" s="147">
        <v>0</v>
      </c>
    </row>
    <row r="66" spans="1:2">
      <c r="A66" s="7">
        <v>44625</v>
      </c>
      <c r="B66" s="147">
        <v>0</v>
      </c>
    </row>
    <row r="67" spans="1:2">
      <c r="A67" s="7">
        <v>44626</v>
      </c>
      <c r="B67" s="147">
        <v>0</v>
      </c>
    </row>
    <row r="68" spans="1:2">
      <c r="A68" s="7">
        <v>44627</v>
      </c>
      <c r="B68" s="147">
        <v>0</v>
      </c>
    </row>
    <row r="69" spans="1:2">
      <c r="A69" s="7">
        <v>44628</v>
      </c>
      <c r="B69" s="147">
        <v>0</v>
      </c>
    </row>
    <row r="70" spans="1:2">
      <c r="A70" s="7">
        <v>44629</v>
      </c>
      <c r="B70" s="147">
        <v>0</v>
      </c>
    </row>
    <row r="71" spans="1:2">
      <c r="A71" s="7">
        <v>44630</v>
      </c>
      <c r="B71" s="147">
        <v>0</v>
      </c>
    </row>
    <row r="72" spans="1:2">
      <c r="A72" s="7">
        <v>44631</v>
      </c>
      <c r="B72" s="147">
        <v>0</v>
      </c>
    </row>
    <row r="73" spans="1:2">
      <c r="A73" s="7">
        <v>44632</v>
      </c>
      <c r="B73" s="147">
        <v>0</v>
      </c>
    </row>
    <row r="74" spans="1:2">
      <c r="A74" s="7">
        <v>44633</v>
      </c>
      <c r="B74" s="147">
        <v>0</v>
      </c>
    </row>
    <row r="75" spans="1:2">
      <c r="A75" s="7">
        <v>44634</v>
      </c>
      <c r="B75" s="147">
        <v>0</v>
      </c>
    </row>
    <row r="76" spans="1:2">
      <c r="A76" s="7">
        <v>44635</v>
      </c>
      <c r="B76" s="147">
        <v>0</v>
      </c>
    </row>
    <row r="77" spans="1:2">
      <c r="A77" s="7">
        <v>44636</v>
      </c>
      <c r="B77" s="147">
        <v>0</v>
      </c>
    </row>
    <row r="78" spans="1:2">
      <c r="A78" s="7">
        <v>44637</v>
      </c>
      <c r="B78" s="147">
        <v>0</v>
      </c>
    </row>
    <row r="79" spans="1:2">
      <c r="A79" s="7">
        <v>44638</v>
      </c>
      <c r="B79" s="147">
        <v>0</v>
      </c>
    </row>
    <row r="80" spans="1:2">
      <c r="A80" s="7">
        <v>44639</v>
      </c>
      <c r="B80" s="147">
        <v>0</v>
      </c>
    </row>
    <row r="81" spans="1:2">
      <c r="A81" s="7">
        <v>44640</v>
      </c>
      <c r="B81" s="147">
        <v>0</v>
      </c>
    </row>
    <row r="82" spans="1:2">
      <c r="A82" s="7">
        <v>44641</v>
      </c>
      <c r="B82" s="147">
        <v>0</v>
      </c>
    </row>
    <row r="83" spans="1:2">
      <c r="A83" s="7">
        <v>44642</v>
      </c>
      <c r="B83" s="147">
        <v>0</v>
      </c>
    </row>
    <row r="84" spans="1:2">
      <c r="A84" s="7">
        <v>44643</v>
      </c>
      <c r="B84" s="147">
        <v>0</v>
      </c>
    </row>
    <row r="85" spans="1:2">
      <c r="A85" s="7">
        <v>44644</v>
      </c>
      <c r="B85" s="147">
        <v>0</v>
      </c>
    </row>
    <row r="86" spans="1:2">
      <c r="A86" s="7">
        <v>44645</v>
      </c>
      <c r="B86" s="147">
        <v>0</v>
      </c>
    </row>
    <row r="87" spans="1:2">
      <c r="A87" s="7">
        <v>44646</v>
      </c>
      <c r="B87" s="147">
        <v>0</v>
      </c>
    </row>
    <row r="88" spans="1:2">
      <c r="A88" s="7">
        <v>44647</v>
      </c>
      <c r="B88" s="147">
        <v>0</v>
      </c>
    </row>
    <row r="89" spans="1:2">
      <c r="A89" s="7">
        <v>44648</v>
      </c>
      <c r="B89" s="147">
        <v>0</v>
      </c>
    </row>
    <row r="90" spans="1:2">
      <c r="A90" s="7">
        <v>44649</v>
      </c>
      <c r="B90" s="147">
        <v>0</v>
      </c>
    </row>
    <row r="91" spans="1:2">
      <c r="A91" s="7">
        <v>44650</v>
      </c>
      <c r="B91" s="147">
        <v>0</v>
      </c>
    </row>
    <row r="92" spans="1:2">
      <c r="A92" s="7">
        <v>44651</v>
      </c>
      <c r="B92" s="147">
        <v>0</v>
      </c>
    </row>
    <row r="93" spans="1:2">
      <c r="A93" s="7">
        <v>44652</v>
      </c>
      <c r="B93" s="147">
        <v>0</v>
      </c>
    </row>
    <row r="94" spans="1:2">
      <c r="A94" s="7">
        <v>44653</v>
      </c>
      <c r="B94" s="147">
        <v>0</v>
      </c>
    </row>
    <row r="95" spans="1:2">
      <c r="A95" s="7">
        <v>44654</v>
      </c>
      <c r="B95" s="147">
        <v>0</v>
      </c>
    </row>
    <row r="96" spans="1:2">
      <c r="A96" s="7">
        <v>44655</v>
      </c>
      <c r="B96" s="147">
        <v>0</v>
      </c>
    </row>
    <row r="97" spans="1:2">
      <c r="A97" s="7">
        <v>44656</v>
      </c>
      <c r="B97" s="147">
        <v>0</v>
      </c>
    </row>
    <row r="98" spans="1:2">
      <c r="A98" s="7">
        <v>44657</v>
      </c>
      <c r="B98" s="147">
        <v>0</v>
      </c>
    </row>
    <row r="99" spans="1:2">
      <c r="A99" s="7">
        <v>44658</v>
      </c>
      <c r="B99" s="147">
        <v>0</v>
      </c>
    </row>
    <row r="100" spans="1:2">
      <c r="A100" s="7">
        <v>44659</v>
      </c>
      <c r="B100" s="147">
        <v>0</v>
      </c>
    </row>
    <row r="101" spans="1:2">
      <c r="A101" s="7">
        <v>44660</v>
      </c>
      <c r="B101" s="147">
        <v>0</v>
      </c>
    </row>
    <row r="102" spans="1:2">
      <c r="A102" s="7">
        <v>44661</v>
      </c>
      <c r="B102" s="147">
        <v>0</v>
      </c>
    </row>
    <row r="103" spans="1:2">
      <c r="A103" s="7">
        <v>44662</v>
      </c>
      <c r="B103" s="147">
        <v>0</v>
      </c>
    </row>
    <row r="104" spans="1:2">
      <c r="A104" s="7">
        <v>44663</v>
      </c>
      <c r="B104" s="147">
        <v>0</v>
      </c>
    </row>
    <row r="105" spans="1:2">
      <c r="A105" s="7">
        <v>44664</v>
      </c>
      <c r="B105" s="147">
        <v>0</v>
      </c>
    </row>
    <row r="106" spans="1:2">
      <c r="A106" s="7">
        <v>44665</v>
      </c>
      <c r="B106" s="147">
        <v>0</v>
      </c>
    </row>
    <row r="107" spans="1:2">
      <c r="A107" s="7">
        <v>44666</v>
      </c>
      <c r="B107" s="147">
        <v>0</v>
      </c>
    </row>
    <row r="108" spans="1:2">
      <c r="A108" s="7">
        <v>44667</v>
      </c>
      <c r="B108" s="147">
        <v>0</v>
      </c>
    </row>
    <row r="109" spans="1:2">
      <c r="A109" s="7">
        <v>44668</v>
      </c>
      <c r="B109" s="147">
        <v>0</v>
      </c>
    </row>
    <row r="110" spans="1:2">
      <c r="A110" s="7">
        <v>44669</v>
      </c>
      <c r="B110" s="147">
        <v>0</v>
      </c>
    </row>
    <row r="111" spans="1:2">
      <c r="A111" s="7">
        <v>44670</v>
      </c>
      <c r="B111" s="147">
        <v>0</v>
      </c>
    </row>
    <row r="112" spans="1:2">
      <c r="A112" s="7">
        <v>44671</v>
      </c>
      <c r="B112" s="147">
        <v>0</v>
      </c>
    </row>
    <row r="113" spans="1:2">
      <c r="A113" s="7">
        <v>44672</v>
      </c>
      <c r="B113" s="147">
        <v>0</v>
      </c>
    </row>
    <row r="114" spans="1:2">
      <c r="A114" s="7">
        <v>44673</v>
      </c>
      <c r="B114" s="147">
        <v>0</v>
      </c>
    </row>
    <row r="115" spans="1:2">
      <c r="A115" s="7">
        <v>44674</v>
      </c>
      <c r="B115" s="147">
        <v>0</v>
      </c>
    </row>
    <row r="116" spans="1:2">
      <c r="A116" s="7">
        <v>44675</v>
      </c>
      <c r="B116" s="147">
        <v>0</v>
      </c>
    </row>
    <row r="117" spans="1:2">
      <c r="A117" s="7">
        <v>44676</v>
      </c>
      <c r="B117" s="147">
        <v>0</v>
      </c>
    </row>
    <row r="118" spans="1:2">
      <c r="A118" s="7">
        <v>44677</v>
      </c>
      <c r="B118" s="147">
        <v>0</v>
      </c>
    </row>
    <row r="119" spans="1:2">
      <c r="A119" s="7">
        <v>44678</v>
      </c>
      <c r="B119" s="147">
        <v>0</v>
      </c>
    </row>
    <row r="120" spans="1:2">
      <c r="A120" s="7">
        <v>44679</v>
      </c>
      <c r="B120" s="147">
        <v>0</v>
      </c>
    </row>
    <row r="121" spans="1:2">
      <c r="A121" s="7">
        <v>44680</v>
      </c>
      <c r="B121" s="147">
        <v>0</v>
      </c>
    </row>
    <row r="122" spans="1:2">
      <c r="A122" s="7">
        <v>44681</v>
      </c>
      <c r="B122" s="147">
        <v>0</v>
      </c>
    </row>
    <row r="123" spans="1:2">
      <c r="A123" s="7">
        <v>44682</v>
      </c>
      <c r="B123" s="147">
        <v>0</v>
      </c>
    </row>
    <row r="124" spans="1:2">
      <c r="A124" s="7">
        <v>44683</v>
      </c>
      <c r="B124" s="147">
        <v>0</v>
      </c>
    </row>
    <row r="125" spans="1:2">
      <c r="A125" s="7">
        <v>44684</v>
      </c>
      <c r="B125" s="147">
        <v>0</v>
      </c>
    </row>
    <row r="126" spans="1:2">
      <c r="A126" s="7">
        <v>44685</v>
      </c>
      <c r="B126" s="147">
        <v>0</v>
      </c>
    </row>
    <row r="127" spans="1:2">
      <c r="A127" s="7">
        <v>44686</v>
      </c>
      <c r="B127" s="147">
        <v>0</v>
      </c>
    </row>
    <row r="128" spans="1:2">
      <c r="A128" s="7">
        <v>44687</v>
      </c>
      <c r="B128" s="147">
        <v>0</v>
      </c>
    </row>
    <row r="129" spans="1:2">
      <c r="A129" s="7">
        <v>44688</v>
      </c>
      <c r="B129" s="147">
        <v>0</v>
      </c>
    </row>
    <row r="130" spans="1:2">
      <c r="A130" s="7">
        <v>44689</v>
      </c>
      <c r="B130" s="147">
        <v>0</v>
      </c>
    </row>
    <row r="131" spans="1:2">
      <c r="A131" s="7">
        <v>44690</v>
      </c>
      <c r="B131" s="147">
        <v>0</v>
      </c>
    </row>
    <row r="132" spans="1:2">
      <c r="A132" s="7">
        <v>44691</v>
      </c>
      <c r="B132" s="147">
        <v>0</v>
      </c>
    </row>
    <row r="133" spans="1:2">
      <c r="A133" s="7">
        <v>44692</v>
      </c>
      <c r="B133" s="147">
        <v>0</v>
      </c>
    </row>
    <row r="134" spans="1:2">
      <c r="A134" s="7">
        <v>44693</v>
      </c>
      <c r="B134" s="147">
        <v>0</v>
      </c>
    </row>
    <row r="135" spans="1:2">
      <c r="A135" s="7">
        <v>44694</v>
      </c>
      <c r="B135" s="147">
        <v>0</v>
      </c>
    </row>
    <row r="136" spans="1:2">
      <c r="A136" s="7">
        <v>44695</v>
      </c>
      <c r="B136" s="147">
        <v>0</v>
      </c>
    </row>
    <row r="137" spans="1:2">
      <c r="A137" s="7">
        <v>44696</v>
      </c>
      <c r="B137" s="147">
        <v>0</v>
      </c>
    </row>
    <row r="138" spans="1:2">
      <c r="A138" s="7">
        <v>44697</v>
      </c>
      <c r="B138" s="147">
        <v>0</v>
      </c>
    </row>
    <row r="139" spans="1:2">
      <c r="A139" s="7">
        <v>44698</v>
      </c>
      <c r="B139" s="147">
        <v>0</v>
      </c>
    </row>
    <row r="140" spans="1:2">
      <c r="A140" s="7">
        <v>44699</v>
      </c>
      <c r="B140" s="147">
        <v>0</v>
      </c>
    </row>
    <row r="141" spans="1:2">
      <c r="A141" s="7">
        <v>44700</v>
      </c>
      <c r="B141" s="147">
        <v>0</v>
      </c>
    </row>
    <row r="142" spans="1:2">
      <c r="A142" s="7">
        <v>44701</v>
      </c>
      <c r="B142" s="147">
        <v>0</v>
      </c>
    </row>
    <row r="143" spans="1:2">
      <c r="A143" s="7">
        <v>44702</v>
      </c>
      <c r="B143" s="147">
        <v>0</v>
      </c>
    </row>
    <row r="144" spans="1:2">
      <c r="A144" s="7">
        <v>44703</v>
      </c>
      <c r="B144" s="147">
        <v>0</v>
      </c>
    </row>
    <row r="145" spans="1:2">
      <c r="A145" s="7">
        <v>44704</v>
      </c>
      <c r="B145" s="147">
        <v>0</v>
      </c>
    </row>
    <row r="146" spans="1:2">
      <c r="A146" s="7">
        <v>44705</v>
      </c>
      <c r="B146" s="147">
        <v>0</v>
      </c>
    </row>
    <row r="147" spans="1:2">
      <c r="A147" s="7">
        <v>44706</v>
      </c>
      <c r="B147" s="147">
        <v>0</v>
      </c>
    </row>
    <row r="148" spans="1:2">
      <c r="A148" s="7">
        <v>44707</v>
      </c>
      <c r="B148" s="147">
        <v>0</v>
      </c>
    </row>
    <row r="149" spans="1:2">
      <c r="A149" s="7">
        <v>44708</v>
      </c>
      <c r="B149" s="147">
        <v>0</v>
      </c>
    </row>
    <row r="150" spans="1:2">
      <c r="A150" s="7">
        <v>44709</v>
      </c>
      <c r="B150" s="147">
        <v>0</v>
      </c>
    </row>
    <row r="151" spans="1:2">
      <c r="A151" s="7">
        <v>44710</v>
      </c>
      <c r="B151" s="147">
        <v>0</v>
      </c>
    </row>
    <row r="152" spans="1:2">
      <c r="A152" s="7">
        <v>44711</v>
      </c>
      <c r="B152" s="147">
        <v>0</v>
      </c>
    </row>
    <row r="153" spans="1:2">
      <c r="A153" s="7">
        <v>44712</v>
      </c>
      <c r="B153" s="147">
        <v>0</v>
      </c>
    </row>
    <row r="154" spans="1:2">
      <c r="A154" s="7">
        <v>44713</v>
      </c>
      <c r="B154" s="147">
        <v>0</v>
      </c>
    </row>
    <row r="155" spans="1:2">
      <c r="A155" s="7">
        <v>44714</v>
      </c>
      <c r="B155" s="147">
        <v>0</v>
      </c>
    </row>
    <row r="156" spans="1:2">
      <c r="A156" s="7">
        <v>44715</v>
      </c>
      <c r="B156" s="147">
        <v>0</v>
      </c>
    </row>
    <row r="157" spans="1:2">
      <c r="A157" s="7">
        <v>44716</v>
      </c>
      <c r="B157" s="147">
        <v>0</v>
      </c>
    </row>
    <row r="158" spans="1:2">
      <c r="A158" s="7">
        <v>44717</v>
      </c>
      <c r="B158" s="147">
        <v>0</v>
      </c>
    </row>
    <row r="159" spans="1:2">
      <c r="A159" s="7">
        <v>44718</v>
      </c>
      <c r="B159" s="147">
        <v>0</v>
      </c>
    </row>
    <row r="160" spans="1:2">
      <c r="A160" s="7">
        <v>44719</v>
      </c>
      <c r="B160" s="147">
        <v>0</v>
      </c>
    </row>
    <row r="161" spans="1:2">
      <c r="A161" s="7">
        <v>44720</v>
      </c>
      <c r="B161" s="147">
        <v>0</v>
      </c>
    </row>
    <row r="162" spans="1:2">
      <c r="A162" s="7">
        <v>44721</v>
      </c>
      <c r="B162" s="147">
        <v>0</v>
      </c>
    </row>
    <row r="163" spans="1:2">
      <c r="A163" s="7">
        <v>44722</v>
      </c>
      <c r="B163" s="147">
        <v>0</v>
      </c>
    </row>
    <row r="164" spans="1:2">
      <c r="A164" s="7">
        <v>44723</v>
      </c>
      <c r="B164" s="147">
        <v>0</v>
      </c>
    </row>
    <row r="165" spans="1:2">
      <c r="A165" s="7">
        <v>44724</v>
      </c>
      <c r="B165" s="147">
        <v>0</v>
      </c>
    </row>
    <row r="166" spans="1:2">
      <c r="A166" s="7">
        <v>44725</v>
      </c>
      <c r="B166" s="147">
        <v>0</v>
      </c>
    </row>
    <row r="167" spans="1:2">
      <c r="A167" s="7">
        <v>44726</v>
      </c>
      <c r="B167" s="147">
        <v>0</v>
      </c>
    </row>
    <row r="168" spans="1:2">
      <c r="A168" s="7">
        <v>44727</v>
      </c>
      <c r="B168" s="147">
        <v>0</v>
      </c>
    </row>
    <row r="169" spans="1:2">
      <c r="A169" s="7">
        <v>44728</v>
      </c>
      <c r="B169" s="147">
        <v>0</v>
      </c>
    </row>
    <row r="170" spans="1:2">
      <c r="A170" s="7">
        <v>44729</v>
      </c>
      <c r="B170" s="147">
        <v>0</v>
      </c>
    </row>
    <row r="171" spans="1:2">
      <c r="A171" s="7">
        <v>44730</v>
      </c>
      <c r="B171" s="147">
        <v>0</v>
      </c>
    </row>
    <row r="172" spans="1:2">
      <c r="A172" s="7">
        <v>44731</v>
      </c>
      <c r="B172" s="147">
        <v>0</v>
      </c>
    </row>
    <row r="173" spans="1:2">
      <c r="A173" s="7">
        <v>44732</v>
      </c>
      <c r="B173" s="147">
        <v>0</v>
      </c>
    </row>
    <row r="174" spans="1:2">
      <c r="A174" s="7">
        <v>44733</v>
      </c>
      <c r="B174" s="147">
        <v>0</v>
      </c>
    </row>
    <row r="175" spans="1:2">
      <c r="A175" s="7">
        <v>44734</v>
      </c>
      <c r="B175" s="147">
        <v>0</v>
      </c>
    </row>
    <row r="176" spans="1:2">
      <c r="A176" s="7">
        <v>44735</v>
      </c>
      <c r="B176" s="147">
        <v>0</v>
      </c>
    </row>
    <row r="177" spans="1:2">
      <c r="A177" s="7">
        <v>44736</v>
      </c>
      <c r="B177" s="147">
        <v>0</v>
      </c>
    </row>
    <row r="178" spans="1:2">
      <c r="A178" s="7">
        <v>44737</v>
      </c>
      <c r="B178" s="147">
        <v>0</v>
      </c>
    </row>
    <row r="179" spans="1:2">
      <c r="A179" s="7">
        <v>44738</v>
      </c>
      <c r="B179" s="147">
        <v>0</v>
      </c>
    </row>
    <row r="180" spans="1:2">
      <c r="A180" s="7">
        <v>44739</v>
      </c>
      <c r="B180" s="147">
        <v>0</v>
      </c>
    </row>
    <row r="181" spans="1:2">
      <c r="A181" s="7">
        <v>44740</v>
      </c>
      <c r="B181" s="147">
        <v>0</v>
      </c>
    </row>
    <row r="182" spans="1:2">
      <c r="A182" s="7">
        <v>44741</v>
      </c>
      <c r="B182" s="147">
        <v>0</v>
      </c>
    </row>
    <row r="183" spans="1:2">
      <c r="A183" s="7">
        <v>44742</v>
      </c>
      <c r="B183" s="147">
        <v>0</v>
      </c>
    </row>
    <row r="184" spans="1:2">
      <c r="A184" s="7">
        <v>44743</v>
      </c>
      <c r="B184" s="147">
        <v>0</v>
      </c>
    </row>
    <row r="185" spans="1:2">
      <c r="A185" s="7">
        <v>44744</v>
      </c>
      <c r="B185" s="147">
        <v>0</v>
      </c>
    </row>
    <row r="186" spans="1:2">
      <c r="A186" s="7">
        <v>44745</v>
      </c>
      <c r="B186" s="147">
        <v>0</v>
      </c>
    </row>
    <row r="187" spans="1:2">
      <c r="A187" s="7">
        <v>44746</v>
      </c>
      <c r="B187" s="147">
        <v>0</v>
      </c>
    </row>
    <row r="188" spans="1:2">
      <c r="A188" s="7">
        <v>44747</v>
      </c>
      <c r="B188" s="147">
        <v>0</v>
      </c>
    </row>
    <row r="189" spans="1:2">
      <c r="A189" s="7">
        <v>44748</v>
      </c>
      <c r="B189" s="147">
        <v>0</v>
      </c>
    </row>
    <row r="190" spans="1:2">
      <c r="A190" s="7">
        <v>44749</v>
      </c>
      <c r="B190" s="147">
        <v>0</v>
      </c>
    </row>
    <row r="191" spans="1:2">
      <c r="A191" s="7">
        <v>44750</v>
      </c>
      <c r="B191" s="147">
        <v>0</v>
      </c>
    </row>
    <row r="192" spans="1:2">
      <c r="A192" s="7">
        <v>44751</v>
      </c>
      <c r="B192" s="147">
        <v>0</v>
      </c>
    </row>
    <row r="193" spans="1:2">
      <c r="A193" s="7">
        <v>44752</v>
      </c>
      <c r="B193" s="147">
        <v>0</v>
      </c>
    </row>
    <row r="194" spans="1:2">
      <c r="A194" s="7">
        <v>44753</v>
      </c>
      <c r="B194" s="147">
        <v>0</v>
      </c>
    </row>
    <row r="195" spans="1:2">
      <c r="A195" s="7">
        <v>44754</v>
      </c>
      <c r="B195" s="147">
        <v>0</v>
      </c>
    </row>
    <row r="196" spans="1:2">
      <c r="A196" s="7">
        <v>44755</v>
      </c>
      <c r="B196" s="147">
        <v>0</v>
      </c>
    </row>
    <row r="197" spans="1:2">
      <c r="A197" s="7">
        <v>44756</v>
      </c>
      <c r="B197" s="147">
        <v>0</v>
      </c>
    </row>
    <row r="198" spans="1:2">
      <c r="A198" s="7">
        <v>44757</v>
      </c>
      <c r="B198" s="147">
        <v>0</v>
      </c>
    </row>
    <row r="199" spans="1:2">
      <c r="A199" s="7">
        <v>44758</v>
      </c>
      <c r="B199" s="147">
        <v>0</v>
      </c>
    </row>
    <row r="200" spans="1:2">
      <c r="A200" s="7">
        <v>44759</v>
      </c>
      <c r="B200" s="147">
        <v>0</v>
      </c>
    </row>
    <row r="201" spans="1:2">
      <c r="A201" s="7">
        <v>44760</v>
      </c>
      <c r="B201" s="147">
        <v>0</v>
      </c>
    </row>
    <row r="202" spans="1:2">
      <c r="A202" s="7">
        <v>44761</v>
      </c>
      <c r="B202" s="147">
        <v>0</v>
      </c>
    </row>
    <row r="203" spans="1:2">
      <c r="A203" s="7">
        <v>44762</v>
      </c>
      <c r="B203" s="147">
        <v>0</v>
      </c>
    </row>
    <row r="204" spans="1:2">
      <c r="A204" s="7">
        <v>44763</v>
      </c>
      <c r="B204" s="147">
        <v>0</v>
      </c>
    </row>
    <row r="205" spans="1:2">
      <c r="A205" s="7">
        <v>44764</v>
      </c>
      <c r="B205" s="147">
        <v>0</v>
      </c>
    </row>
    <row r="206" spans="1:2">
      <c r="A206" s="7">
        <v>44765</v>
      </c>
      <c r="B206" s="147">
        <v>0</v>
      </c>
    </row>
    <row r="207" spans="1:2">
      <c r="A207" s="7">
        <v>44766</v>
      </c>
      <c r="B207" s="147">
        <v>0</v>
      </c>
    </row>
    <row r="208" spans="1:2">
      <c r="A208" s="7">
        <v>44767</v>
      </c>
      <c r="B208" s="147">
        <v>0</v>
      </c>
    </row>
    <row r="209" spans="1:2">
      <c r="A209" s="7">
        <v>44768</v>
      </c>
      <c r="B209" s="147">
        <v>0</v>
      </c>
    </row>
    <row r="210" spans="1:2">
      <c r="A210" s="7">
        <v>44769</v>
      </c>
      <c r="B210" s="147">
        <v>0</v>
      </c>
    </row>
    <row r="211" spans="1:2">
      <c r="A211" s="7">
        <v>44770</v>
      </c>
      <c r="B211" s="147">
        <v>0</v>
      </c>
    </row>
    <row r="212" spans="1:2">
      <c r="A212" s="7">
        <v>44771</v>
      </c>
      <c r="B212" s="147">
        <v>0</v>
      </c>
    </row>
    <row r="213" spans="1:2">
      <c r="A213" s="7">
        <v>44772</v>
      </c>
      <c r="B213" s="147">
        <v>0</v>
      </c>
    </row>
    <row r="214" spans="1:2">
      <c r="A214" s="7">
        <v>44773</v>
      </c>
      <c r="B214" s="147">
        <v>0</v>
      </c>
    </row>
    <row r="215" spans="1:2">
      <c r="A215" s="7">
        <v>44774</v>
      </c>
      <c r="B215" s="147">
        <v>0</v>
      </c>
    </row>
    <row r="216" spans="1:2">
      <c r="A216" s="7">
        <v>44775</v>
      </c>
      <c r="B216" s="147">
        <v>0</v>
      </c>
    </row>
    <row r="217" spans="1:2">
      <c r="A217" s="7">
        <v>44776</v>
      </c>
      <c r="B217" s="147">
        <v>0</v>
      </c>
    </row>
    <row r="218" spans="1:2">
      <c r="A218" s="7">
        <v>44777</v>
      </c>
      <c r="B218" s="147">
        <v>0</v>
      </c>
    </row>
    <row r="219" spans="1:2">
      <c r="A219" s="7">
        <v>44778</v>
      </c>
      <c r="B219" s="147">
        <v>0</v>
      </c>
    </row>
    <row r="220" spans="1:2">
      <c r="A220" s="7">
        <v>44779</v>
      </c>
      <c r="B220" s="147">
        <v>0</v>
      </c>
    </row>
    <row r="221" spans="1:2">
      <c r="A221" s="7">
        <v>44780</v>
      </c>
      <c r="B221" s="147">
        <v>0</v>
      </c>
    </row>
    <row r="222" spans="1:2">
      <c r="A222" s="7">
        <v>44781</v>
      </c>
      <c r="B222" s="147">
        <v>0</v>
      </c>
    </row>
    <row r="223" spans="1:2">
      <c r="A223" s="7">
        <v>44782</v>
      </c>
      <c r="B223" s="147">
        <v>0</v>
      </c>
    </row>
    <row r="224" spans="1:2">
      <c r="A224" s="7">
        <v>44783</v>
      </c>
      <c r="B224" s="147">
        <v>0</v>
      </c>
    </row>
    <row r="225" spans="1:2">
      <c r="A225" s="7">
        <v>44784</v>
      </c>
      <c r="B225" s="147">
        <v>0</v>
      </c>
    </row>
    <row r="226" spans="1:2">
      <c r="A226" s="7">
        <v>44785</v>
      </c>
      <c r="B226" s="147">
        <v>0</v>
      </c>
    </row>
    <row r="227" spans="1:2">
      <c r="A227" s="7">
        <v>44786</v>
      </c>
      <c r="B227" s="147">
        <v>0</v>
      </c>
    </row>
    <row r="228" spans="1:2">
      <c r="A228" s="7">
        <v>44787</v>
      </c>
      <c r="B228" s="147">
        <v>0</v>
      </c>
    </row>
    <row r="229" spans="1:2">
      <c r="A229" s="7">
        <v>44788</v>
      </c>
      <c r="B229" s="147">
        <v>0</v>
      </c>
    </row>
    <row r="230" spans="1:2">
      <c r="A230" s="7">
        <v>44789</v>
      </c>
      <c r="B230" s="147">
        <v>0</v>
      </c>
    </row>
    <row r="231" spans="1:2">
      <c r="A231" s="7">
        <v>44790</v>
      </c>
      <c r="B231" s="147">
        <v>0</v>
      </c>
    </row>
    <row r="232" spans="1:2">
      <c r="A232" s="7">
        <v>44791</v>
      </c>
      <c r="B232" s="147">
        <v>0</v>
      </c>
    </row>
    <row r="233" spans="1:2">
      <c r="A233" s="7">
        <v>44792</v>
      </c>
      <c r="B233" s="147">
        <v>0</v>
      </c>
    </row>
    <row r="234" spans="1:2">
      <c r="A234" s="7">
        <v>44793</v>
      </c>
      <c r="B234" s="147">
        <v>0</v>
      </c>
    </row>
    <row r="235" spans="1:2">
      <c r="A235" s="7">
        <v>44794</v>
      </c>
      <c r="B235" s="147">
        <v>0</v>
      </c>
    </row>
    <row r="236" spans="1:2">
      <c r="A236" s="7">
        <v>44795</v>
      </c>
      <c r="B236" s="147">
        <v>0</v>
      </c>
    </row>
    <row r="237" spans="1:2">
      <c r="A237" s="7">
        <v>44796</v>
      </c>
      <c r="B237" s="147">
        <v>0</v>
      </c>
    </row>
    <row r="238" spans="1:2">
      <c r="A238" s="7">
        <v>44797</v>
      </c>
      <c r="B238" s="147">
        <v>0</v>
      </c>
    </row>
    <row r="239" spans="1:2">
      <c r="A239" s="7">
        <v>44798</v>
      </c>
      <c r="B239" s="147">
        <v>0</v>
      </c>
    </row>
    <row r="240" spans="1:2">
      <c r="A240" s="7">
        <v>44799</v>
      </c>
      <c r="B240" s="147">
        <v>0</v>
      </c>
    </row>
    <row r="241" spans="1:2">
      <c r="A241" s="7">
        <v>44800</v>
      </c>
      <c r="B241" s="147">
        <v>0</v>
      </c>
    </row>
    <row r="242" spans="1:2">
      <c r="A242" s="7">
        <v>44801</v>
      </c>
      <c r="B242" s="147">
        <v>0</v>
      </c>
    </row>
    <row r="243" spans="1:2">
      <c r="A243" s="7">
        <v>44802</v>
      </c>
      <c r="B243" s="147">
        <v>0</v>
      </c>
    </row>
    <row r="244" spans="1:2">
      <c r="A244" s="7">
        <v>44803</v>
      </c>
      <c r="B244" s="147">
        <v>0</v>
      </c>
    </row>
    <row r="245" spans="1:2">
      <c r="A245" s="7">
        <v>44804</v>
      </c>
      <c r="B245" s="147">
        <v>0</v>
      </c>
    </row>
    <row r="246" spans="1:2">
      <c r="A246" s="7">
        <v>44805</v>
      </c>
      <c r="B246" s="147">
        <v>0</v>
      </c>
    </row>
    <row r="247" spans="1:2">
      <c r="A247" s="7">
        <v>44806</v>
      </c>
      <c r="B247" s="147">
        <v>0</v>
      </c>
    </row>
    <row r="248" spans="1:2">
      <c r="A248" s="7">
        <v>44807</v>
      </c>
      <c r="B248" s="147">
        <v>0</v>
      </c>
    </row>
    <row r="249" spans="1:2">
      <c r="A249" s="7">
        <v>44808</v>
      </c>
      <c r="B249" s="147">
        <v>0</v>
      </c>
    </row>
    <row r="250" spans="1:2">
      <c r="A250" s="7">
        <v>44809</v>
      </c>
      <c r="B250" s="147">
        <v>0</v>
      </c>
    </row>
    <row r="251" spans="1:2">
      <c r="A251" s="7">
        <v>44810</v>
      </c>
      <c r="B251" s="147">
        <v>0</v>
      </c>
    </row>
    <row r="252" spans="1:2">
      <c r="A252" s="7">
        <v>44811</v>
      </c>
      <c r="B252" s="147">
        <v>0</v>
      </c>
    </row>
    <row r="253" spans="1:2">
      <c r="A253" s="7">
        <v>44812</v>
      </c>
      <c r="B253" s="147">
        <v>0</v>
      </c>
    </row>
    <row r="254" spans="1:2">
      <c r="A254" s="7">
        <v>44813</v>
      </c>
      <c r="B254" s="147">
        <v>0</v>
      </c>
    </row>
    <row r="255" spans="1:2">
      <c r="A255" s="7">
        <v>44814</v>
      </c>
      <c r="B255" s="147">
        <v>0</v>
      </c>
    </row>
    <row r="256" spans="1:2">
      <c r="A256" s="7">
        <v>44815</v>
      </c>
      <c r="B256" s="147">
        <v>0</v>
      </c>
    </row>
    <row r="257" spans="1:2">
      <c r="A257" s="7">
        <v>44816</v>
      </c>
      <c r="B257" s="147">
        <v>0</v>
      </c>
    </row>
    <row r="258" spans="1:2">
      <c r="A258" s="7">
        <v>44817</v>
      </c>
      <c r="B258" s="147">
        <v>0</v>
      </c>
    </row>
    <row r="259" spans="1:2">
      <c r="A259" s="7">
        <v>44818</v>
      </c>
      <c r="B259" s="147">
        <v>0</v>
      </c>
    </row>
    <row r="260" spans="1:2">
      <c r="A260" s="7">
        <v>44819</v>
      </c>
      <c r="B260" s="147">
        <v>0</v>
      </c>
    </row>
    <row r="261" spans="1:2">
      <c r="A261" s="7">
        <v>44820</v>
      </c>
      <c r="B261" s="147">
        <v>0</v>
      </c>
    </row>
    <row r="262" spans="1:2">
      <c r="A262" s="7">
        <v>44821</v>
      </c>
      <c r="B262" s="147">
        <v>0</v>
      </c>
    </row>
    <row r="263" spans="1:2">
      <c r="A263" s="7">
        <v>44822</v>
      </c>
      <c r="B263" s="147">
        <v>0</v>
      </c>
    </row>
    <row r="264" spans="1:2">
      <c r="A264" s="7">
        <v>44823</v>
      </c>
      <c r="B264" s="147">
        <v>0</v>
      </c>
    </row>
    <row r="265" spans="1:2">
      <c r="A265" s="7">
        <v>44824</v>
      </c>
      <c r="B265" s="147">
        <v>0</v>
      </c>
    </row>
    <row r="266" spans="1:2">
      <c r="A266" s="7">
        <v>44825</v>
      </c>
      <c r="B266" s="147">
        <v>0</v>
      </c>
    </row>
    <row r="267" spans="1:2">
      <c r="A267" s="7">
        <v>44826</v>
      </c>
      <c r="B267" s="147">
        <v>0</v>
      </c>
    </row>
    <row r="268" spans="1:2">
      <c r="A268" s="7">
        <v>44827</v>
      </c>
      <c r="B268" s="147">
        <v>0</v>
      </c>
    </row>
    <row r="269" spans="1:2">
      <c r="A269" s="7">
        <v>44828</v>
      </c>
      <c r="B269" s="147">
        <v>0</v>
      </c>
    </row>
    <row r="270" spans="1:2">
      <c r="A270" s="7">
        <v>44829</v>
      </c>
      <c r="B270" s="147">
        <v>0</v>
      </c>
    </row>
    <row r="271" spans="1:2">
      <c r="A271" s="7">
        <v>44830</v>
      </c>
      <c r="B271" s="147">
        <v>0</v>
      </c>
    </row>
    <row r="272" spans="1:2">
      <c r="A272" s="7">
        <v>44831</v>
      </c>
      <c r="B272" s="147">
        <v>0</v>
      </c>
    </row>
    <row r="273" spans="1:2">
      <c r="A273" s="7">
        <v>44832</v>
      </c>
      <c r="B273" s="147">
        <v>0</v>
      </c>
    </row>
    <row r="274" spans="1:2">
      <c r="A274" s="7">
        <v>44833</v>
      </c>
      <c r="B274" s="147">
        <v>0</v>
      </c>
    </row>
    <row r="275" spans="1:2">
      <c r="A275" s="7">
        <v>44834</v>
      </c>
      <c r="B275" s="147">
        <v>0</v>
      </c>
    </row>
    <row r="276" spans="1:2">
      <c r="A276" s="7">
        <v>44835</v>
      </c>
      <c r="B276" s="147">
        <v>0</v>
      </c>
    </row>
    <row r="277" spans="1:2">
      <c r="A277" s="7">
        <v>44836</v>
      </c>
      <c r="B277" s="147">
        <v>0</v>
      </c>
    </row>
    <row r="278" spans="1:2">
      <c r="A278" s="7">
        <v>44837</v>
      </c>
      <c r="B278" s="147">
        <v>0</v>
      </c>
    </row>
    <row r="279" spans="1:2">
      <c r="A279" s="7">
        <v>44838</v>
      </c>
      <c r="B279" s="147">
        <v>0</v>
      </c>
    </row>
    <row r="280" spans="1:2">
      <c r="A280" s="7">
        <v>44839</v>
      </c>
      <c r="B280" s="147">
        <v>0</v>
      </c>
    </row>
    <row r="281" spans="1:2">
      <c r="A281" s="7">
        <v>44840</v>
      </c>
      <c r="B281" s="147">
        <v>0</v>
      </c>
    </row>
    <row r="282" spans="1:2">
      <c r="A282" s="7">
        <v>44841</v>
      </c>
      <c r="B282" s="147">
        <v>0</v>
      </c>
    </row>
    <row r="283" spans="1:2">
      <c r="A283" s="7">
        <v>44842</v>
      </c>
      <c r="B283" s="147">
        <v>0</v>
      </c>
    </row>
    <row r="284" spans="1:2">
      <c r="A284" s="7">
        <v>44843</v>
      </c>
      <c r="B284" s="147">
        <v>0</v>
      </c>
    </row>
    <row r="285" spans="1:2">
      <c r="A285" s="7">
        <v>44844</v>
      </c>
      <c r="B285" s="147">
        <v>0</v>
      </c>
    </row>
    <row r="286" spans="1:2">
      <c r="A286" s="7">
        <v>44845</v>
      </c>
      <c r="B286" s="147">
        <v>0</v>
      </c>
    </row>
    <row r="287" spans="1:2">
      <c r="A287" s="7">
        <v>44846</v>
      </c>
      <c r="B287" s="147">
        <v>0</v>
      </c>
    </row>
    <row r="288" spans="1:2">
      <c r="A288" s="7">
        <v>44847</v>
      </c>
      <c r="B288" s="147">
        <v>0</v>
      </c>
    </row>
    <row r="289" spans="1:2">
      <c r="A289" s="7">
        <v>44848</v>
      </c>
      <c r="B289" s="147">
        <v>0</v>
      </c>
    </row>
    <row r="290" spans="1:2">
      <c r="A290" s="7">
        <v>44849</v>
      </c>
      <c r="B290" s="147">
        <v>0</v>
      </c>
    </row>
    <row r="291" spans="1:2">
      <c r="A291" s="7">
        <v>44850</v>
      </c>
      <c r="B291" s="147">
        <v>0</v>
      </c>
    </row>
    <row r="292" spans="1:2">
      <c r="A292" s="7">
        <v>44851</v>
      </c>
      <c r="B292" s="147">
        <v>0</v>
      </c>
    </row>
    <row r="293" spans="1:2">
      <c r="A293" s="7">
        <v>44852</v>
      </c>
      <c r="B293" s="147">
        <v>0</v>
      </c>
    </row>
    <row r="294" spans="1:2">
      <c r="A294" s="7">
        <v>44853</v>
      </c>
      <c r="B294" s="147">
        <v>0</v>
      </c>
    </row>
    <row r="295" spans="1:2">
      <c r="A295" s="7">
        <v>44854</v>
      </c>
      <c r="B295" s="147">
        <v>0</v>
      </c>
    </row>
    <row r="296" spans="1:2">
      <c r="A296" s="7">
        <v>44855</v>
      </c>
      <c r="B296" s="147">
        <v>0</v>
      </c>
    </row>
    <row r="297" spans="1:2">
      <c r="A297" s="7">
        <v>44856</v>
      </c>
      <c r="B297" s="147">
        <v>0</v>
      </c>
    </row>
    <row r="298" spans="1:2">
      <c r="A298" s="7">
        <v>44857</v>
      </c>
      <c r="B298" s="147">
        <v>0</v>
      </c>
    </row>
    <row r="299" spans="1:2">
      <c r="A299" s="7">
        <v>44858</v>
      </c>
      <c r="B299" s="147">
        <v>0</v>
      </c>
    </row>
    <row r="300" spans="1:2">
      <c r="A300" s="7">
        <v>44859</v>
      </c>
      <c r="B300" s="147">
        <v>0</v>
      </c>
    </row>
    <row r="301" spans="1:2">
      <c r="A301" s="7">
        <v>44860</v>
      </c>
      <c r="B301" s="147">
        <v>0</v>
      </c>
    </row>
    <row r="302" spans="1:2">
      <c r="A302" s="7">
        <v>44861</v>
      </c>
      <c r="B302" s="147">
        <v>0</v>
      </c>
    </row>
    <row r="303" spans="1:2">
      <c r="A303" s="7">
        <v>44862</v>
      </c>
      <c r="B303" s="147">
        <v>0</v>
      </c>
    </row>
    <row r="304" spans="1:2">
      <c r="A304" s="7">
        <v>44863</v>
      </c>
      <c r="B304" s="147">
        <v>0</v>
      </c>
    </row>
    <row r="305" spans="1:2">
      <c r="A305" s="7">
        <v>44864</v>
      </c>
      <c r="B305" s="147">
        <v>0</v>
      </c>
    </row>
    <row r="306" spans="1:2">
      <c r="A306" s="7">
        <v>44865</v>
      </c>
      <c r="B306" s="147">
        <v>0</v>
      </c>
    </row>
    <row r="307" spans="1:2">
      <c r="A307" s="7">
        <v>44866</v>
      </c>
      <c r="B307" s="147">
        <v>0</v>
      </c>
    </row>
    <row r="308" spans="1:2">
      <c r="A308" s="7">
        <v>44867</v>
      </c>
      <c r="B308" s="147">
        <v>0</v>
      </c>
    </row>
    <row r="309" spans="1:2">
      <c r="A309" s="7">
        <v>44868</v>
      </c>
      <c r="B309" s="147">
        <v>0</v>
      </c>
    </row>
    <row r="310" spans="1:2">
      <c r="A310" s="7">
        <v>44869</v>
      </c>
      <c r="B310" s="147">
        <v>0</v>
      </c>
    </row>
    <row r="311" spans="1:2">
      <c r="A311" s="7">
        <v>44870</v>
      </c>
      <c r="B311" s="147">
        <v>0</v>
      </c>
    </row>
    <row r="312" spans="1:2">
      <c r="A312" s="7">
        <v>44871</v>
      </c>
      <c r="B312" s="147">
        <v>0</v>
      </c>
    </row>
    <row r="313" spans="1:2">
      <c r="A313" s="7">
        <v>44872</v>
      </c>
      <c r="B313" s="147">
        <v>0</v>
      </c>
    </row>
    <row r="314" spans="1:2">
      <c r="A314" s="7">
        <v>44873</v>
      </c>
      <c r="B314" s="147">
        <v>0</v>
      </c>
    </row>
    <row r="315" spans="1:2">
      <c r="A315" s="7">
        <v>44874</v>
      </c>
      <c r="B315" s="147">
        <v>0</v>
      </c>
    </row>
    <row r="316" spans="1:2">
      <c r="A316" s="7">
        <v>44875</v>
      </c>
      <c r="B316" s="147">
        <v>0</v>
      </c>
    </row>
    <row r="317" spans="1:2">
      <c r="A317" s="7">
        <v>44876</v>
      </c>
      <c r="B317" s="147">
        <v>0</v>
      </c>
    </row>
    <row r="318" spans="1:2">
      <c r="A318" s="7">
        <v>44877</v>
      </c>
      <c r="B318" s="147">
        <v>0</v>
      </c>
    </row>
    <row r="319" spans="1:2">
      <c r="A319" s="7">
        <v>44878</v>
      </c>
      <c r="B319" s="147">
        <v>0</v>
      </c>
    </row>
    <row r="320" spans="1:2">
      <c r="A320" s="7">
        <v>44879</v>
      </c>
      <c r="B320" s="147">
        <v>0</v>
      </c>
    </row>
    <row r="321" spans="1:2">
      <c r="A321" s="7">
        <v>44880</v>
      </c>
      <c r="B321" s="147">
        <v>0</v>
      </c>
    </row>
    <row r="322" spans="1:2">
      <c r="A322" s="7">
        <v>44881</v>
      </c>
      <c r="B322" s="147">
        <v>0</v>
      </c>
    </row>
    <row r="323" spans="1:2">
      <c r="A323" s="7">
        <v>44882</v>
      </c>
      <c r="B323" s="147">
        <v>0</v>
      </c>
    </row>
    <row r="324" spans="1:2">
      <c r="A324" s="7">
        <v>44883</v>
      </c>
      <c r="B324" s="147">
        <v>0</v>
      </c>
    </row>
    <row r="325" spans="1:2">
      <c r="A325" s="7">
        <v>44884</v>
      </c>
      <c r="B325" s="147">
        <v>0</v>
      </c>
    </row>
    <row r="326" spans="1:2">
      <c r="A326" s="7">
        <v>44885</v>
      </c>
      <c r="B326" s="147">
        <v>0</v>
      </c>
    </row>
    <row r="327" spans="1:2">
      <c r="A327" s="7">
        <v>44886</v>
      </c>
      <c r="B327" s="147">
        <v>0</v>
      </c>
    </row>
    <row r="328" spans="1:2">
      <c r="A328" s="7">
        <v>44887</v>
      </c>
      <c r="B328" s="147">
        <v>0</v>
      </c>
    </row>
    <row r="329" spans="1:2">
      <c r="A329" s="7">
        <v>44888</v>
      </c>
      <c r="B329" s="147">
        <v>0</v>
      </c>
    </row>
    <row r="330" spans="1:2">
      <c r="A330" s="7">
        <v>44889</v>
      </c>
      <c r="B330" s="147">
        <v>0</v>
      </c>
    </row>
    <row r="331" spans="1:2">
      <c r="A331" s="7">
        <v>44890</v>
      </c>
      <c r="B331" s="147">
        <v>0</v>
      </c>
    </row>
    <row r="332" spans="1:2">
      <c r="A332" s="7">
        <v>44891</v>
      </c>
      <c r="B332" s="147">
        <v>0</v>
      </c>
    </row>
    <row r="333" spans="1:2">
      <c r="A333" s="7">
        <v>44892</v>
      </c>
      <c r="B333" s="147">
        <v>0</v>
      </c>
    </row>
    <row r="334" spans="1:2">
      <c r="A334" s="7">
        <v>44893</v>
      </c>
      <c r="B334" s="147">
        <v>0</v>
      </c>
    </row>
    <row r="335" spans="1:2">
      <c r="A335" s="7">
        <v>44894</v>
      </c>
      <c r="B335" s="147">
        <v>0</v>
      </c>
    </row>
    <row r="336" spans="1:2">
      <c r="A336" s="7">
        <v>44895</v>
      </c>
      <c r="B336" s="147">
        <v>0</v>
      </c>
    </row>
    <row r="337" spans="1:2">
      <c r="A337" s="7">
        <v>44896</v>
      </c>
      <c r="B337" s="147">
        <v>0</v>
      </c>
    </row>
    <row r="338" spans="1:2">
      <c r="A338" s="7">
        <v>44897</v>
      </c>
      <c r="B338" s="147">
        <v>0</v>
      </c>
    </row>
    <row r="339" spans="1:2">
      <c r="A339" s="7">
        <v>44898</v>
      </c>
      <c r="B339" s="147">
        <v>0</v>
      </c>
    </row>
    <row r="340" spans="1:2">
      <c r="A340" s="7">
        <v>44899</v>
      </c>
      <c r="B340" s="147">
        <v>0</v>
      </c>
    </row>
    <row r="341" spans="1:2">
      <c r="A341" s="7">
        <v>44900</v>
      </c>
      <c r="B341" s="147">
        <v>0</v>
      </c>
    </row>
    <row r="342" spans="1:2">
      <c r="A342" s="7">
        <v>44901</v>
      </c>
      <c r="B342" s="147">
        <v>0</v>
      </c>
    </row>
    <row r="343" spans="1:2">
      <c r="A343" s="7">
        <v>44902</v>
      </c>
      <c r="B343" s="147">
        <v>0</v>
      </c>
    </row>
    <row r="344" spans="1:2">
      <c r="A344" s="7">
        <v>44903</v>
      </c>
      <c r="B344" s="147">
        <v>0</v>
      </c>
    </row>
    <row r="345" spans="1:2">
      <c r="A345" s="7">
        <v>44904</v>
      </c>
      <c r="B345" s="147">
        <v>0</v>
      </c>
    </row>
    <row r="346" spans="1:2">
      <c r="A346" s="7">
        <v>44905</v>
      </c>
      <c r="B346" s="147">
        <v>0</v>
      </c>
    </row>
    <row r="347" spans="1:2">
      <c r="A347" s="7">
        <v>44906</v>
      </c>
      <c r="B347" s="147">
        <v>0</v>
      </c>
    </row>
    <row r="348" spans="1:2">
      <c r="A348" s="7">
        <v>44907</v>
      </c>
      <c r="B348" s="147">
        <v>0</v>
      </c>
    </row>
    <row r="349" spans="1:2">
      <c r="A349" s="7">
        <v>44908</v>
      </c>
      <c r="B349" s="147">
        <v>0</v>
      </c>
    </row>
    <row r="350" spans="1:2">
      <c r="A350" s="7">
        <v>44909</v>
      </c>
      <c r="B350" s="147">
        <v>0</v>
      </c>
    </row>
    <row r="351" spans="1:2">
      <c r="A351" s="7">
        <v>44910</v>
      </c>
      <c r="B351" s="147">
        <v>0</v>
      </c>
    </row>
    <row r="352" spans="1:2">
      <c r="A352" s="7">
        <v>44911</v>
      </c>
      <c r="B352" s="147">
        <v>0</v>
      </c>
    </row>
    <row r="353" spans="1:2">
      <c r="A353" s="7">
        <v>44912</v>
      </c>
      <c r="B353" s="147">
        <v>0</v>
      </c>
    </row>
    <row r="354" spans="1:2">
      <c r="A354" s="7">
        <v>44913</v>
      </c>
      <c r="B354" s="147">
        <v>0</v>
      </c>
    </row>
    <row r="355" spans="1:2">
      <c r="A355" s="7">
        <v>44914</v>
      </c>
      <c r="B355" s="147">
        <v>0</v>
      </c>
    </row>
    <row r="356" spans="1:2">
      <c r="A356" s="7">
        <v>44915</v>
      </c>
      <c r="B356" s="147">
        <v>0</v>
      </c>
    </row>
    <row r="357" spans="1:2">
      <c r="A357" s="7">
        <v>44916</v>
      </c>
      <c r="B357" s="147">
        <v>0</v>
      </c>
    </row>
    <row r="358" spans="1:2">
      <c r="A358" s="7">
        <v>44917</v>
      </c>
      <c r="B358" s="147">
        <v>0</v>
      </c>
    </row>
    <row r="359" spans="1:2">
      <c r="A359" s="7">
        <v>44918</v>
      </c>
      <c r="B359" s="147">
        <v>0</v>
      </c>
    </row>
    <row r="360" spans="1:2">
      <c r="A360" s="7">
        <v>44919</v>
      </c>
      <c r="B360" s="147">
        <v>0</v>
      </c>
    </row>
    <row r="361" spans="1:2">
      <c r="A361" s="7">
        <v>44920</v>
      </c>
      <c r="B361" s="147">
        <v>0</v>
      </c>
    </row>
    <row r="362" spans="1:2">
      <c r="A362" s="7">
        <v>44921</v>
      </c>
      <c r="B362" s="147">
        <v>0</v>
      </c>
    </row>
    <row r="363" spans="1:2">
      <c r="A363" s="7">
        <v>44922</v>
      </c>
      <c r="B363" s="147">
        <v>0</v>
      </c>
    </row>
    <row r="364" spans="1:2">
      <c r="A364" s="7">
        <v>44923</v>
      </c>
      <c r="B364" s="147">
        <v>0</v>
      </c>
    </row>
    <row r="365" spans="1:2">
      <c r="A365" s="7">
        <v>44924</v>
      </c>
      <c r="B365" s="147">
        <v>0</v>
      </c>
    </row>
    <row r="366" spans="1:2">
      <c r="A366" s="7">
        <v>44925</v>
      </c>
      <c r="B366" s="147">
        <v>0</v>
      </c>
    </row>
    <row r="367" spans="1:2">
      <c r="A367" s="7">
        <v>44926</v>
      </c>
      <c r="B367" s="147">
        <v>0</v>
      </c>
    </row>
  </sheetData>
  <dataValidations count="1">
    <dataValidation type="date" allowBlank="1" showInputMessage="1" showErrorMessage="1" sqref="A3:A367" xr:uid="{F1737C61-6741-4EA9-98A5-F1487DF695D0}">
      <formula1>44562</formula1>
      <formula2>44926</formula2>
    </dataValidation>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09928-399B-41DD-859E-E4C86D268508}">
  <sheetPr codeName="Sheet5"/>
  <dimension ref="A1:AA28"/>
  <sheetViews>
    <sheetView showGridLines="0" zoomScale="78" zoomScaleNormal="78" workbookViewId="0">
      <selection activeCell="U12" sqref="U12"/>
    </sheetView>
  </sheetViews>
  <sheetFormatPr defaultColWidth="9.42578125" defaultRowHeight="15"/>
  <cols>
    <col min="1" max="1" width="3.5703125" customWidth="1"/>
    <col min="2" max="2" width="36.5703125" customWidth="1"/>
    <col min="3" max="13" width="9.42578125" bestFit="1" customWidth="1"/>
  </cols>
  <sheetData>
    <row r="1" spans="1:27" ht="15" customHeight="1">
      <c r="A1" s="179"/>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row>
    <row r="2" spans="1:27" ht="15" customHeight="1">
      <c r="A2" s="179"/>
      <c r="B2" s="179"/>
      <c r="C2" s="179"/>
      <c r="D2" s="179"/>
      <c r="E2" s="179"/>
      <c r="F2" s="179"/>
      <c r="G2" s="179"/>
      <c r="H2" s="179"/>
      <c r="I2" s="179"/>
      <c r="J2" s="179"/>
      <c r="K2" s="179"/>
      <c r="L2" s="179"/>
      <c r="M2" s="179"/>
      <c r="N2" s="179"/>
      <c r="O2" s="179"/>
      <c r="P2" s="179"/>
      <c r="Q2" s="179"/>
      <c r="R2" s="179"/>
      <c r="S2" s="179"/>
      <c r="T2" s="179"/>
      <c r="U2" s="179"/>
      <c r="V2" s="179"/>
      <c r="W2" s="179"/>
      <c r="X2" s="179"/>
      <c r="Y2" s="179"/>
      <c r="Z2" s="179"/>
      <c r="AA2" s="179"/>
    </row>
    <row r="3" spans="1:27" ht="23.25">
      <c r="A3" s="177"/>
      <c r="B3" s="177"/>
      <c r="C3" s="177"/>
      <c r="D3" s="177"/>
      <c r="E3" s="177"/>
      <c r="F3" s="177"/>
      <c r="G3" s="177"/>
      <c r="H3" s="177"/>
      <c r="I3" s="177"/>
      <c r="J3" s="177"/>
      <c r="K3" s="177"/>
      <c r="L3" s="177"/>
      <c r="M3" s="177"/>
      <c r="N3" s="177"/>
      <c r="O3" s="177"/>
      <c r="P3" s="177"/>
      <c r="Q3" s="177"/>
      <c r="R3" s="177"/>
      <c r="S3" s="177"/>
      <c r="T3" s="177"/>
      <c r="U3" s="177"/>
      <c r="V3" s="177"/>
      <c r="W3" s="177"/>
      <c r="X3" s="177"/>
      <c r="Y3" s="177"/>
      <c r="Z3" s="177"/>
      <c r="AA3" s="177"/>
    </row>
    <row r="4" spans="1:27" ht="11.25" customHeight="1">
      <c r="A4" s="180"/>
      <c r="B4" s="180"/>
      <c r="C4" s="180"/>
      <c r="D4" s="180"/>
      <c r="E4" s="180"/>
      <c r="F4" s="180"/>
      <c r="G4" s="180"/>
      <c r="H4" s="180"/>
      <c r="I4" s="180"/>
      <c r="J4" s="180"/>
      <c r="K4" s="180"/>
      <c r="L4" s="180"/>
      <c r="M4" s="180"/>
      <c r="N4" s="175"/>
      <c r="O4" s="175"/>
      <c r="P4" s="175"/>
      <c r="Q4" s="176"/>
      <c r="R4" s="176"/>
      <c r="S4" s="176"/>
      <c r="T4" s="152"/>
      <c r="U4" s="152"/>
      <c r="V4" s="152"/>
      <c r="W4" s="152"/>
      <c r="X4" s="152"/>
      <c r="Y4" s="152"/>
      <c r="Z4" s="152"/>
      <c r="AA4" s="153"/>
    </row>
    <row r="5" spans="1:27" ht="18.75" customHeight="1">
      <c r="A5" s="180"/>
      <c r="B5" s="180"/>
      <c r="C5" s="180"/>
      <c r="D5" s="180"/>
      <c r="E5" s="180"/>
      <c r="F5" s="180"/>
      <c r="G5" s="180"/>
      <c r="H5" s="180"/>
      <c r="I5" s="180"/>
      <c r="J5" s="180"/>
      <c r="K5" s="180"/>
      <c r="L5" s="180"/>
      <c r="M5" s="180"/>
      <c r="N5" s="175"/>
      <c r="O5" s="175"/>
      <c r="P5" s="175"/>
      <c r="Q5" s="176"/>
      <c r="R5" s="176"/>
      <c r="S5" s="176"/>
      <c r="T5" s="152"/>
      <c r="U5" s="152"/>
      <c r="V5" s="152"/>
      <c r="W5" s="152"/>
      <c r="X5" s="152"/>
      <c r="Y5" s="152"/>
      <c r="Z5" s="152"/>
      <c r="AA5" s="152"/>
    </row>
    <row r="6" spans="1:27" ht="18.75" customHeight="1">
      <c r="A6" s="180"/>
      <c r="B6" s="180"/>
      <c r="C6" s="180"/>
      <c r="D6" s="180"/>
      <c r="E6" s="180"/>
      <c r="F6" s="180"/>
      <c r="G6" s="180"/>
      <c r="H6" s="180"/>
      <c r="I6" s="180"/>
      <c r="J6" s="180"/>
      <c r="K6" s="180"/>
      <c r="L6" s="180"/>
      <c r="M6" s="180"/>
      <c r="N6" s="175"/>
      <c r="O6" s="175"/>
      <c r="P6" s="175"/>
      <c r="Q6" s="176"/>
      <c r="R6" s="176"/>
      <c r="S6" s="176"/>
      <c r="T6" s="152"/>
      <c r="U6" s="152"/>
      <c r="V6" s="152"/>
      <c r="W6" s="152"/>
      <c r="X6" s="152"/>
      <c r="Y6" s="152"/>
      <c r="Z6" s="152"/>
      <c r="AA6" s="152"/>
    </row>
    <row r="7" spans="1:27" ht="18.75" customHeight="1">
      <c r="A7" s="180"/>
      <c r="B7" s="180"/>
      <c r="C7" s="180"/>
      <c r="D7" s="180"/>
      <c r="E7" s="180"/>
      <c r="F7" s="180"/>
      <c r="G7" s="180"/>
      <c r="H7" s="180"/>
      <c r="I7" s="180"/>
      <c r="J7" s="180"/>
      <c r="K7" s="180"/>
      <c r="L7" s="180"/>
      <c r="M7" s="180"/>
      <c r="N7" s="175"/>
      <c r="O7" s="175"/>
      <c r="P7" s="175"/>
      <c r="Q7" s="176"/>
      <c r="R7" s="176"/>
      <c r="S7" s="176"/>
      <c r="T7" s="152"/>
      <c r="U7" s="152"/>
      <c r="V7" s="152"/>
      <c r="W7" s="152"/>
      <c r="X7" s="152"/>
      <c r="Y7" s="152"/>
      <c r="Z7" s="152"/>
      <c r="AA7" s="152"/>
    </row>
    <row r="8" spans="1:27" ht="18.75" customHeight="1">
      <c r="A8" s="180"/>
      <c r="B8" s="180"/>
      <c r="C8" s="180"/>
      <c r="D8" s="180"/>
      <c r="E8" s="180"/>
      <c r="F8" s="180"/>
      <c r="G8" s="180"/>
      <c r="H8" s="180"/>
      <c r="I8" s="180"/>
      <c r="J8" s="180"/>
      <c r="K8" s="180"/>
      <c r="L8" s="180"/>
      <c r="M8" s="180"/>
      <c r="N8" s="175"/>
      <c r="O8" s="175"/>
      <c r="P8" s="175"/>
      <c r="Q8" s="176"/>
      <c r="R8" s="176"/>
      <c r="S8" s="176"/>
      <c r="T8" s="152"/>
      <c r="U8" s="152"/>
      <c r="V8" s="152"/>
      <c r="W8" s="152"/>
      <c r="X8" s="152"/>
      <c r="Y8" s="152"/>
      <c r="Z8" s="152"/>
      <c r="AA8" s="152"/>
    </row>
    <row r="9" spans="1:27" ht="18.75" customHeight="1">
      <c r="A9" s="180"/>
      <c r="B9" s="180"/>
      <c r="C9" s="180"/>
      <c r="D9" s="180"/>
      <c r="E9" s="180"/>
      <c r="F9" s="180"/>
      <c r="G9" s="180"/>
      <c r="H9" s="180"/>
      <c r="I9" s="180"/>
      <c r="J9" s="180"/>
      <c r="K9" s="180"/>
      <c r="L9" s="180"/>
      <c r="M9" s="180"/>
      <c r="N9" s="175"/>
      <c r="O9" s="175"/>
      <c r="P9" s="175"/>
      <c r="Q9" s="176"/>
      <c r="R9" s="176"/>
      <c r="S9" s="176"/>
      <c r="T9" s="152"/>
      <c r="U9" s="152"/>
      <c r="V9" s="152"/>
      <c r="W9" s="152"/>
      <c r="X9" s="152"/>
      <c r="Y9" s="152"/>
      <c r="Z9" s="152"/>
      <c r="AA9" s="152"/>
    </row>
    <row r="10" spans="1:27" ht="18.75" customHeight="1">
      <c r="A10" s="180"/>
      <c r="B10" s="180"/>
      <c r="C10" s="180"/>
      <c r="D10" s="180"/>
      <c r="E10" s="180"/>
      <c r="F10" s="180"/>
      <c r="G10" s="180"/>
      <c r="H10" s="180"/>
      <c r="I10" s="180"/>
      <c r="J10" s="180"/>
      <c r="K10" s="180"/>
      <c r="L10" s="180"/>
      <c r="M10" s="180"/>
      <c r="N10" s="175"/>
      <c r="O10" s="175"/>
      <c r="P10" s="175"/>
      <c r="Q10" s="176"/>
      <c r="R10" s="176"/>
      <c r="S10" s="176"/>
      <c r="T10" s="152"/>
      <c r="U10" s="152"/>
      <c r="V10" s="152"/>
      <c r="W10" s="152"/>
      <c r="X10" s="152"/>
      <c r="Y10" s="152"/>
      <c r="Z10" s="152"/>
      <c r="AA10" s="152"/>
    </row>
    <row r="11" spans="1:27" ht="18.75" customHeight="1">
      <c r="A11" s="180"/>
      <c r="B11" s="180"/>
      <c r="C11" s="180"/>
      <c r="D11" s="180"/>
      <c r="E11" s="180"/>
      <c r="F11" s="180"/>
      <c r="G11" s="180"/>
      <c r="H11" s="180"/>
      <c r="I11" s="180"/>
      <c r="J11" s="180"/>
      <c r="K11" s="180"/>
      <c r="L11" s="180"/>
      <c r="M11" s="180"/>
      <c r="N11" s="175"/>
      <c r="O11" s="175"/>
      <c r="P11" s="175"/>
      <c r="Q11" s="176"/>
      <c r="R11" s="176"/>
      <c r="S11" s="176"/>
      <c r="T11" s="152"/>
      <c r="U11" s="152"/>
      <c r="V11" s="152"/>
      <c r="W11" s="152"/>
      <c r="X11" s="152"/>
      <c r="Y11" s="152"/>
      <c r="Z11" s="152"/>
      <c r="AA11" s="152"/>
    </row>
    <row r="12" spans="1:27" ht="18.75" customHeight="1">
      <c r="A12" s="180"/>
      <c r="B12" s="180"/>
      <c r="C12" s="180"/>
      <c r="D12" s="180"/>
      <c r="E12" s="180"/>
      <c r="F12" s="180"/>
      <c r="G12" s="180"/>
      <c r="H12" s="180"/>
      <c r="I12" s="180"/>
      <c r="J12" s="180"/>
      <c r="K12" s="180"/>
      <c r="L12" s="180"/>
      <c r="M12" s="180"/>
      <c r="N12" s="154"/>
      <c r="O12" s="154"/>
      <c r="P12" s="154"/>
      <c r="Q12" s="152"/>
      <c r="R12" s="152"/>
      <c r="S12" s="152"/>
      <c r="T12" s="152"/>
      <c r="U12" s="152"/>
      <c r="V12" s="152"/>
      <c r="W12" s="152"/>
      <c r="X12" s="152"/>
      <c r="Y12" s="152"/>
      <c r="Z12" s="152"/>
      <c r="AA12" s="152"/>
    </row>
    <row r="13" spans="1:27" ht="18.75" customHeight="1">
      <c r="A13" s="180"/>
      <c r="B13" s="180"/>
      <c r="C13" s="180"/>
      <c r="D13" s="180"/>
      <c r="E13" s="180"/>
      <c r="F13" s="180"/>
      <c r="G13" s="180"/>
      <c r="H13" s="180"/>
      <c r="I13" s="180"/>
      <c r="J13" s="180"/>
      <c r="K13" s="180"/>
      <c r="L13" s="180"/>
      <c r="M13" s="180"/>
      <c r="N13" s="154"/>
      <c r="O13" s="154"/>
      <c r="P13" s="154"/>
      <c r="Q13" s="152"/>
      <c r="R13" s="152"/>
      <c r="S13" s="152"/>
      <c r="T13" s="152"/>
      <c r="U13" s="152"/>
      <c r="V13" s="152"/>
      <c r="W13" s="152"/>
      <c r="X13" s="152"/>
      <c r="Y13" s="152"/>
      <c r="Z13" s="152"/>
      <c r="AA13" s="152"/>
    </row>
    <row r="14" spans="1:27" ht="15" customHeight="1">
      <c r="A14" s="177"/>
      <c r="B14" s="177"/>
      <c r="C14" s="17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77"/>
    </row>
    <row r="15" spans="1:27" ht="15" customHeight="1">
      <c r="A15" s="177"/>
      <c r="B15" s="177"/>
      <c r="C15" s="17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77"/>
    </row>
    <row r="16" spans="1:27" ht="18.75">
      <c r="A16" s="175"/>
      <c r="B16" s="175"/>
      <c r="C16" s="175"/>
      <c r="D16" s="178"/>
      <c r="E16" s="178"/>
      <c r="F16" s="178"/>
      <c r="G16" s="178"/>
      <c r="H16" s="175"/>
      <c r="I16" s="175"/>
      <c r="J16" s="175"/>
      <c r="K16" s="178"/>
      <c r="L16" s="178"/>
      <c r="M16" s="178"/>
      <c r="N16" s="175"/>
      <c r="O16" s="175"/>
      <c r="P16" s="175"/>
      <c r="Q16" s="176"/>
      <c r="R16" s="176"/>
      <c r="S16" s="176"/>
      <c r="T16" s="155"/>
      <c r="U16" s="175"/>
      <c r="V16" s="175"/>
      <c r="W16" s="175"/>
      <c r="X16" s="176"/>
      <c r="Y16" s="176"/>
      <c r="Z16" s="176"/>
      <c r="AA16" s="155"/>
    </row>
    <row r="17" spans="1:27" ht="15" customHeight="1">
      <c r="A17" s="177"/>
      <c r="B17" s="177"/>
      <c r="C17" s="177"/>
      <c r="D17" s="177"/>
      <c r="E17" s="177"/>
      <c r="F17" s="177"/>
      <c r="G17" s="177"/>
      <c r="H17" s="177"/>
      <c r="I17" s="177"/>
      <c r="J17" s="177"/>
      <c r="K17" s="177"/>
      <c r="L17" s="177"/>
      <c r="M17" s="177"/>
      <c r="N17" s="175"/>
      <c r="O17" s="175"/>
      <c r="P17" s="175"/>
      <c r="Q17" s="176"/>
      <c r="R17" s="176"/>
      <c r="S17" s="176"/>
      <c r="T17" s="155"/>
      <c r="U17" s="175"/>
      <c r="V17" s="175"/>
      <c r="W17" s="175"/>
      <c r="X17" s="176"/>
      <c r="Y17" s="176"/>
      <c r="Z17" s="176"/>
      <c r="AA17" s="155"/>
    </row>
    <row r="18" spans="1:27" ht="15" customHeight="1">
      <c r="A18" s="177"/>
      <c r="B18" s="177"/>
      <c r="C18" s="177"/>
      <c r="D18" s="177"/>
      <c r="E18" s="177"/>
      <c r="F18" s="177"/>
      <c r="G18" s="177"/>
      <c r="H18" s="177"/>
      <c r="I18" s="177"/>
      <c r="J18" s="177"/>
      <c r="K18" s="177"/>
      <c r="L18" s="177"/>
      <c r="M18" s="177"/>
      <c r="N18" s="175"/>
      <c r="O18" s="175"/>
      <c r="P18" s="175"/>
      <c r="Q18" s="176"/>
      <c r="R18" s="176"/>
      <c r="S18" s="176"/>
      <c r="T18" s="155"/>
      <c r="U18" s="175"/>
      <c r="V18" s="175"/>
      <c r="W18" s="175"/>
      <c r="X18" s="176"/>
      <c r="Y18" s="176"/>
      <c r="Z18" s="176"/>
      <c r="AA18" s="155"/>
    </row>
    <row r="19" spans="1:27" ht="15" customHeight="1">
      <c r="A19" s="175"/>
      <c r="B19" s="175"/>
      <c r="C19" s="175"/>
      <c r="D19" s="178"/>
      <c r="E19" s="178"/>
      <c r="F19" s="178"/>
      <c r="G19" s="178"/>
      <c r="H19" s="175"/>
      <c r="I19" s="175"/>
      <c r="J19" s="175"/>
      <c r="K19" s="178"/>
      <c r="L19" s="178"/>
      <c r="M19" s="178"/>
      <c r="N19" s="175"/>
      <c r="O19" s="175"/>
      <c r="P19" s="175"/>
      <c r="Q19" s="176"/>
      <c r="R19" s="176"/>
      <c r="S19" s="176"/>
      <c r="T19" s="155"/>
      <c r="U19" s="175"/>
      <c r="V19" s="175"/>
      <c r="W19" s="175"/>
      <c r="X19" s="176"/>
      <c r="Y19" s="176"/>
      <c r="Z19" s="176"/>
      <c r="AA19" s="155"/>
    </row>
    <row r="20" spans="1:27" ht="15" customHeight="1">
      <c r="A20" s="155"/>
      <c r="B20" s="155"/>
      <c r="C20" s="155"/>
      <c r="D20" s="155"/>
      <c r="E20" s="155"/>
      <c r="F20" s="155"/>
      <c r="G20" s="155"/>
      <c r="H20" s="155"/>
      <c r="I20" s="155"/>
      <c r="J20" s="155"/>
      <c r="K20" s="155"/>
      <c r="L20" s="155"/>
      <c r="M20" s="155"/>
      <c r="N20" s="175"/>
      <c r="O20" s="175"/>
      <c r="P20" s="175"/>
      <c r="Q20" s="176"/>
      <c r="R20" s="176"/>
      <c r="S20" s="176"/>
      <c r="T20" s="155"/>
      <c r="U20" s="175"/>
      <c r="V20" s="175"/>
      <c r="W20" s="175"/>
      <c r="X20" s="176"/>
      <c r="Y20" s="176"/>
      <c r="Z20" s="176"/>
      <c r="AA20" s="155"/>
    </row>
    <row r="21" spans="1:27" ht="15" customHeight="1">
      <c r="A21" s="155"/>
      <c r="B21" s="155"/>
      <c r="C21" s="155"/>
      <c r="D21" s="155"/>
      <c r="E21" s="155"/>
      <c r="F21" s="155"/>
      <c r="G21" s="155"/>
      <c r="H21" s="155"/>
      <c r="I21" s="155"/>
      <c r="J21" s="155"/>
      <c r="K21" s="155"/>
      <c r="L21" s="155"/>
      <c r="M21" s="155"/>
      <c r="N21" s="175"/>
      <c r="O21" s="175"/>
      <c r="P21" s="175"/>
      <c r="Q21" s="176"/>
      <c r="R21" s="176"/>
      <c r="S21" s="176"/>
      <c r="T21" s="155"/>
      <c r="U21" s="175"/>
      <c r="V21" s="175"/>
      <c r="W21" s="175"/>
      <c r="X21" s="176"/>
      <c r="Y21" s="176"/>
      <c r="Z21" s="176"/>
      <c r="AA21" s="155"/>
    </row>
    <row r="22" spans="1:27">
      <c r="A22" s="155"/>
      <c r="B22" s="155"/>
      <c r="C22" s="155"/>
      <c r="D22" s="155"/>
      <c r="E22" s="155"/>
      <c r="F22" s="155"/>
      <c r="G22" s="155"/>
      <c r="H22" s="155"/>
      <c r="I22" s="155"/>
      <c r="J22" s="155"/>
      <c r="K22" s="155"/>
      <c r="L22" s="155"/>
      <c r="M22" s="155"/>
      <c r="N22" s="155"/>
      <c r="O22" s="155"/>
      <c r="P22" s="155"/>
      <c r="Q22" s="155"/>
      <c r="R22" s="155"/>
      <c r="S22" s="155"/>
      <c r="T22" s="155"/>
      <c r="U22" s="175"/>
      <c r="V22" s="175"/>
      <c r="W22" s="175"/>
      <c r="X22" s="176"/>
      <c r="Y22" s="176"/>
      <c r="Z22" s="176"/>
      <c r="AA22" s="155"/>
    </row>
    <row r="23" spans="1:27">
      <c r="A23" s="155"/>
      <c r="B23" s="155"/>
      <c r="C23" s="155"/>
      <c r="D23" s="155"/>
      <c r="E23" s="155"/>
      <c r="F23" s="155"/>
      <c r="G23" s="155"/>
      <c r="H23" s="155"/>
      <c r="I23" s="155"/>
      <c r="J23" s="155"/>
      <c r="K23" s="155"/>
      <c r="L23" s="155"/>
      <c r="M23" s="155"/>
      <c r="N23" s="155"/>
      <c r="O23" s="155"/>
      <c r="P23" s="155"/>
      <c r="Q23" s="155"/>
      <c r="R23" s="155"/>
      <c r="S23" s="155"/>
      <c r="T23" s="155"/>
      <c r="U23" s="175"/>
      <c r="V23" s="175"/>
      <c r="W23" s="175"/>
      <c r="X23" s="176"/>
      <c r="Y23" s="176"/>
      <c r="Z23" s="176"/>
      <c r="AA23" s="155"/>
    </row>
    <row r="24" spans="1:27">
      <c r="A24" s="155"/>
      <c r="B24" s="155"/>
      <c r="C24" s="155"/>
      <c r="D24" s="155"/>
      <c r="E24" s="155"/>
      <c r="F24" s="155"/>
      <c r="G24" s="155"/>
      <c r="H24" s="155"/>
      <c r="I24" s="155"/>
      <c r="J24" s="155"/>
      <c r="K24" s="155"/>
      <c r="L24" s="155"/>
      <c r="M24" s="155"/>
      <c r="N24" s="155"/>
      <c r="O24" s="155"/>
      <c r="P24" s="155"/>
      <c r="Q24" s="155"/>
      <c r="R24" s="155"/>
      <c r="S24" s="155"/>
      <c r="T24" s="155"/>
      <c r="U24" s="175"/>
      <c r="V24" s="175"/>
      <c r="W24" s="175"/>
      <c r="X24" s="176"/>
      <c r="Y24" s="176"/>
      <c r="Z24" s="176"/>
      <c r="AA24" s="155"/>
    </row>
    <row r="25" spans="1:27">
      <c r="A25" s="155"/>
      <c r="B25" s="155"/>
      <c r="C25" s="155"/>
      <c r="D25" s="155"/>
      <c r="E25" s="155"/>
      <c r="F25" s="155"/>
      <c r="G25" s="155"/>
      <c r="H25" s="155"/>
      <c r="I25" s="155"/>
      <c r="J25" s="155"/>
      <c r="K25" s="155"/>
      <c r="L25" s="155"/>
      <c r="M25" s="155"/>
      <c r="N25" s="155"/>
      <c r="O25" s="155"/>
      <c r="P25" s="155"/>
      <c r="Q25" s="155"/>
      <c r="R25" s="155"/>
      <c r="S25" s="155"/>
      <c r="T25" s="155"/>
      <c r="U25" s="175"/>
      <c r="V25" s="175"/>
      <c r="W25" s="175"/>
      <c r="X25" s="176"/>
      <c r="Y25" s="176"/>
      <c r="Z25" s="176"/>
      <c r="AA25" s="155"/>
    </row>
    <row r="26" spans="1:27">
      <c r="A26" s="155"/>
      <c r="B26" s="155"/>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row>
    <row r="27" spans="1:27">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row>
    <row r="28" spans="1:27">
      <c r="A28" s="155"/>
      <c r="B28" s="155"/>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row>
  </sheetData>
  <mergeCells count="40">
    <mergeCell ref="N14:T15"/>
    <mergeCell ref="U14:AA15"/>
    <mergeCell ref="N3:AA3"/>
    <mergeCell ref="N4:P5"/>
    <mergeCell ref="N6:P7"/>
    <mergeCell ref="N8:P9"/>
    <mergeCell ref="N10:P11"/>
    <mergeCell ref="Q10:S11"/>
    <mergeCell ref="A14:M15"/>
    <mergeCell ref="A16:C16"/>
    <mergeCell ref="D16:G16"/>
    <mergeCell ref="H16:J16"/>
    <mergeCell ref="K16:M16"/>
    <mergeCell ref="A3:M3"/>
    <mergeCell ref="A1:AA2"/>
    <mergeCell ref="Q4:S5"/>
    <mergeCell ref="Q6:S7"/>
    <mergeCell ref="Q8:S9"/>
    <mergeCell ref="A4:M13"/>
    <mergeCell ref="Q16:S17"/>
    <mergeCell ref="N18:P19"/>
    <mergeCell ref="Q18:S19"/>
    <mergeCell ref="N20:P21"/>
    <mergeCell ref="Q20:S21"/>
    <mergeCell ref="U24:W25"/>
    <mergeCell ref="X24:Z25"/>
    <mergeCell ref="A17:M18"/>
    <mergeCell ref="A19:C19"/>
    <mergeCell ref="D19:G19"/>
    <mergeCell ref="H19:J19"/>
    <mergeCell ref="K19:M19"/>
    <mergeCell ref="U16:W17"/>
    <mergeCell ref="X16:Z17"/>
    <mergeCell ref="U18:W19"/>
    <mergeCell ref="X18:Z19"/>
    <mergeCell ref="U20:W21"/>
    <mergeCell ref="X20:Z21"/>
    <mergeCell ref="U22:W23"/>
    <mergeCell ref="X22:Z23"/>
    <mergeCell ref="N16:P17"/>
  </mergeCells>
  <dataValidations count="1">
    <dataValidation type="whole" allowBlank="1" showInputMessage="1" showErrorMessage="1" errorTitle="Invalid Input" error="Your age must be postive number with no decimals." promptTitle="Age" prompt="Enter your age" sqref="K16:M16" xr:uid="{BCCA8017-B01C-490D-A302-542264603D7D}">
      <formula1>0</formula1>
      <formula2>200</formula2>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dashSubmit">
                <anchor moveWithCells="1">
                  <from>
                    <xdr:col>19</xdr:col>
                    <xdr:colOff>409575</xdr:colOff>
                    <xdr:row>9</xdr:row>
                    <xdr:rowOff>104775</xdr:rowOff>
                  </from>
                  <to>
                    <xdr:col>20</xdr:col>
                    <xdr:colOff>333375</xdr:colOff>
                    <xdr:row>10</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B03DD-C0B6-4A59-963D-31FFEE971D7F}">
  <sheetPr codeName="Sheet3"/>
  <dimension ref="B1:U138"/>
  <sheetViews>
    <sheetView showGridLines="0" zoomScale="85" zoomScaleNormal="85" workbookViewId="0">
      <selection activeCell="S4" sqref="S4:T15"/>
    </sheetView>
  </sheetViews>
  <sheetFormatPr defaultRowHeight="15"/>
  <cols>
    <col min="1" max="1" width="2.5703125" customWidth="1"/>
    <col min="2" max="2" width="41.5703125" customWidth="1"/>
    <col min="3" max="3" width="31.42578125" customWidth="1"/>
    <col min="4" max="4" width="11.5703125" customWidth="1"/>
    <col min="5" max="5" width="18.5703125" customWidth="1"/>
    <col min="6" max="6" width="26.5703125" customWidth="1"/>
    <col min="7" max="7" width="15" customWidth="1"/>
    <col min="8" max="8" width="11.42578125" customWidth="1"/>
    <col min="9" max="9" width="24.5703125" customWidth="1"/>
    <col min="10" max="10" width="19.42578125" customWidth="1"/>
    <col min="19" max="19" width="22.5703125" customWidth="1"/>
    <col min="20" max="20" width="19.28515625" customWidth="1"/>
    <col min="21" max="21" width="15" customWidth="1"/>
  </cols>
  <sheetData>
    <row r="1" spans="2:21" ht="18.75" customHeight="1"/>
    <row r="2" spans="2:21" ht="51.75" customHeight="1"/>
    <row r="3" spans="2:21" ht="18.75" customHeight="1">
      <c r="B3" s="54" t="s">
        <v>12</v>
      </c>
      <c r="C3" s="53"/>
      <c r="D3" s="53"/>
      <c r="E3" s="53"/>
      <c r="F3" s="53"/>
      <c r="G3" s="53"/>
      <c r="H3" s="53"/>
      <c r="I3" s="53"/>
    </row>
    <row r="4" spans="2:21" ht="25.5" customHeight="1" thickBot="1">
      <c r="B4" s="50" t="s">
        <v>13</v>
      </c>
      <c r="C4" s="50" t="s">
        <v>14</v>
      </c>
      <c r="D4" s="50" t="s">
        <v>15</v>
      </c>
      <c r="E4" s="50" t="s">
        <v>16</v>
      </c>
      <c r="F4" s="50" t="s">
        <v>17</v>
      </c>
      <c r="G4" s="58" t="s">
        <v>18</v>
      </c>
      <c r="H4" s="51"/>
      <c r="I4" s="50" t="s">
        <v>19</v>
      </c>
      <c r="S4" t="s">
        <v>24</v>
      </c>
      <c r="T4" t="s">
        <v>25</v>
      </c>
    </row>
    <row r="5" spans="2:21" ht="16.5">
      <c r="B5" s="55" t="e" cm="1" vm="1">
        <f t="array" ref="B5:B6">_xlfn._xlws.SORT(_xlfn.UNIQUE(_xlfn._xlws.FILTER(Ledger[Stock],SUMIF(Ledger[Stock],Ledger[Stock],Ledger[Shares])&gt;0)))</f>
        <v>#VALUE!</v>
      </c>
      <c r="C5" s="55" t="str" cm="1">
        <f t="array" ref="C5:C6">_FV(_xlfn.ANCHORARRAY(B5),"Industry")</f>
        <v>Banking Services</v>
      </c>
      <c r="D5" s="59" cm="1">
        <f t="array" ref="D5:D6">SUMIF(Ledger[Stock],_xlfn.ANCHORARRAY(B5),Ledger[Shares])</f>
        <v>100</v>
      </c>
      <c r="E5" s="56" cm="1">
        <f t="array" ref="E5:E6">_FV(_xlfn.ANCHORARRAY(B5),"Price")</f>
        <v>148.97999999999999</v>
      </c>
      <c r="F5" s="56" cm="1">
        <f t="array" ref="F5:F6">_xlfn.ANCHORARRAY(E5)*_xlfn.ANCHORARRAY(D5)</f>
        <v>14897.999999999998</v>
      </c>
      <c r="G5" s="56" cm="1">
        <f t="array" ref="G5:G6">(_xlfn.ANCHORARRAY(E5)-_FV(_xlfn.ANCHORARRAY(B5),"Previous close",TRUE))*_xlfn.ANCHORARRAY(D5)</f>
        <v>244.99999999999886</v>
      </c>
      <c r="H5" s="57" cm="1">
        <f t="array" ref="H5:H6">_xlfn.ANCHORARRAY(G5)/(_xlfn.ANCHORARRAY(F5)-_xlfn.ANCHORARRAY(G5))</f>
        <v>1.6720125571555236E-2</v>
      </c>
      <c r="I5" s="56" cm="1">
        <f t="array" ref="I5:I6">-SUMIF(Ledger[Stock],_xlfn.ANCHORARRAY(B5),Ledger[Transaction Amount])+_xlfn.ANCHORARRAY(F5)</f>
        <v>2197.9999999999982</v>
      </c>
      <c r="J5" s="55"/>
      <c r="S5" s="146" t="str" cm="1">
        <f t="array" ref="S5">IFERROR(_xlfn.UNIQUE(Liability[[#This Row],[Category]]),"")</f>
        <v>Subscription</v>
      </c>
      <c r="T5" s="146">
        <f>IF(SUMIF(Liability[Category],Table3[[#This Row],[Category]],Liability[Amount])=0,"",SUMIF(Liability[Category],Table3[[#This Row],[Category]],Liability[Amount]))</f>
        <v>12</v>
      </c>
      <c r="U5" s="146"/>
    </row>
    <row r="6" spans="2:21" ht="16.5">
      <c r="B6" s="55" t="e" vm="2">
        <v>#VALUE!</v>
      </c>
      <c r="C6" s="55" t="str">
        <v>Automobiles &amp; Auto Parts</v>
      </c>
      <c r="D6" s="59">
        <v>10</v>
      </c>
      <c r="E6" s="56">
        <v>943</v>
      </c>
      <c r="F6" s="56">
        <v>9430</v>
      </c>
      <c r="G6" s="56">
        <v>246.00000000000023</v>
      </c>
      <c r="H6" s="57">
        <v>2.6785714285714312E-2</v>
      </c>
      <c r="I6" s="56">
        <v>-1260</v>
      </c>
      <c r="J6" s="55"/>
      <c r="S6" s="146" t="str" cm="1">
        <f t="array" ref="S6">IFERROR(_xlfn.UNIQUE(Liability[[#This Row],[Category]]),"")</f>
        <v>One-Time Payment</v>
      </c>
      <c r="T6" s="146">
        <f>IF(SUMIF(Liability[Category],Table3[[#This Row],[Category]],Liability[Amount])=0,"",SUMIF(Liability[Category],Table3[[#This Row],[Category]],Liability[Amount]))</f>
        <v>314</v>
      </c>
      <c r="U6" s="52"/>
    </row>
    <row r="7" spans="2:21" ht="16.5">
      <c r="B7" s="55"/>
      <c r="C7" s="55"/>
      <c r="D7" s="59"/>
      <c r="E7" s="56"/>
      <c r="F7" s="56"/>
      <c r="G7" s="56"/>
      <c r="H7" s="57"/>
      <c r="I7" s="56"/>
      <c r="J7" s="55"/>
      <c r="S7" s="146" t="str" cm="1">
        <f t="array" ref="S7">IFERROR(_xlfn.UNIQUE(Liability[[#This Row],[Category]]),"")</f>
        <v/>
      </c>
      <c r="T7" s="146" t="str">
        <f>IF(SUMIF(Liability[Category],Table3[[#This Row],[Category]],Liability[Amount])=0,"",SUMIF(Liability[Category],Table3[[#This Row],[Category]],Liability[Amount]))</f>
        <v/>
      </c>
      <c r="U7" s="52"/>
    </row>
    <row r="8" spans="2:21" ht="16.5">
      <c r="B8" s="55"/>
      <c r="C8" s="55"/>
      <c r="D8" s="59"/>
      <c r="E8" s="56"/>
      <c r="F8" s="56"/>
      <c r="G8" s="56"/>
      <c r="H8" s="57"/>
      <c r="I8" s="56"/>
      <c r="J8" s="55"/>
      <c r="S8" s="146" t="str" cm="1">
        <f t="array" ref="S8">IFERROR(_xlfn.UNIQUE(Liability[[#This Row],[Category]]),"")</f>
        <v/>
      </c>
      <c r="T8" s="146" t="str">
        <f>IF(SUMIF(Liability[Category],Table3[[#This Row],[Category]],Liability[Amount])=0,"",SUMIF(Liability[Category],Table3[[#This Row],[Category]],Liability[Amount]))</f>
        <v/>
      </c>
      <c r="U8" s="52"/>
    </row>
    <row r="9" spans="2:21" ht="16.5">
      <c r="B9" s="55"/>
      <c r="C9" s="55"/>
      <c r="D9" s="59"/>
      <c r="E9" s="56"/>
      <c r="F9" s="56"/>
      <c r="G9" s="56"/>
      <c r="H9" s="57"/>
      <c r="I9" s="56"/>
      <c r="S9" s="146" t="str" cm="1">
        <f t="array" ref="S9">IFERROR(_xlfn.UNIQUE(Liability[[#This Row],[Category]]),"")</f>
        <v/>
      </c>
      <c r="T9" s="146" t="str">
        <f>IF(SUMIF(Liability[Category],Table3[[#This Row],[Category]],Liability[Amount])=0,"",SUMIF(Liability[Category],Table3[[#This Row],[Category]],Liability[Amount]))</f>
        <v/>
      </c>
    </row>
    <row r="10" spans="2:21" ht="16.5">
      <c r="B10" s="55"/>
      <c r="C10" s="55"/>
      <c r="D10" s="59"/>
      <c r="E10" s="56"/>
      <c r="F10" s="56"/>
      <c r="G10" s="56"/>
      <c r="H10" s="57"/>
      <c r="I10" s="56"/>
      <c r="S10" s="146" t="str" cm="1">
        <f t="array" ref="S10">IFERROR(_xlfn.UNIQUE(Liability[[#This Row],[Category]]),"")</f>
        <v/>
      </c>
      <c r="T10" s="146" t="str">
        <f>IF(SUMIF(Liability[Category],Table3[[#This Row],[Category]],Liability[Amount])=0,"",SUMIF(Liability[Category],Table3[[#This Row],[Category]],Liability[Amount]))</f>
        <v/>
      </c>
    </row>
    <row r="11" spans="2:21" ht="16.5" hidden="1">
      <c r="B11" s="55"/>
      <c r="C11" s="55"/>
      <c r="D11" s="59"/>
      <c r="E11" s="56"/>
      <c r="F11" s="56"/>
      <c r="G11" s="56"/>
      <c r="H11" s="57"/>
      <c r="I11" s="56"/>
      <c r="S11" s="146" t="str" cm="1">
        <f t="array" ref="S11">IFERROR(_xlfn.UNIQUE(Liability[[#This Row],[Category]]),"")</f>
        <v/>
      </c>
      <c r="T11" s="146" t="str">
        <f>IF(SUMIF(Liability[Category],Table3[[#This Row],[Category]],Liability[Amount])=0,"",SUMIF(Liability[Category],Table3[[#This Row],[Category]],Liability[Amount]))</f>
        <v/>
      </c>
    </row>
    <row r="12" spans="2:21" ht="16.5" hidden="1">
      <c r="B12" s="55"/>
      <c r="C12" s="55"/>
      <c r="D12" s="59"/>
      <c r="E12" s="56"/>
      <c r="F12" s="56"/>
      <c r="G12" s="56"/>
      <c r="H12" s="57"/>
      <c r="I12" s="56"/>
      <c r="S12" s="146" t="str" cm="1">
        <f t="array" ref="S12">IFERROR(_xlfn.UNIQUE(Liability[[#This Row],[Category]]),"")</f>
        <v/>
      </c>
      <c r="T12" s="146" t="str">
        <f>IF(SUMIF(Liability[Category],Table3[[#This Row],[Category]],Liability[Amount])=0,"",SUMIF(Liability[Category],Table3[[#This Row],[Category]],Liability[Amount]))</f>
        <v/>
      </c>
    </row>
    <row r="13" spans="2:21" ht="16.5" hidden="1">
      <c r="B13" s="55"/>
      <c r="C13" s="55"/>
      <c r="D13" s="59"/>
      <c r="E13" s="56"/>
      <c r="F13" s="56"/>
      <c r="G13" s="56"/>
      <c r="H13" s="57"/>
      <c r="I13" s="56"/>
      <c r="S13" s="146" t="str" cm="1">
        <f t="array" ref="S13">IFERROR(_xlfn.UNIQUE(Liability[[#This Row],[Category]]),"")</f>
        <v/>
      </c>
      <c r="T13" s="146" t="str">
        <f>IF(SUMIF(Liability[Category],Table3[[#This Row],[Category]],Liability[Amount])=0,"",SUMIF(Liability[Category],Table3[[#This Row],[Category]],Liability[Amount]))</f>
        <v/>
      </c>
    </row>
    <row r="14" spans="2:21" ht="16.5" hidden="1">
      <c r="B14" s="55"/>
      <c r="C14" s="55"/>
      <c r="D14" s="59"/>
      <c r="E14" s="56"/>
      <c r="F14" s="56"/>
      <c r="G14" s="56"/>
      <c r="H14" s="57"/>
      <c r="I14" s="56"/>
      <c r="S14" s="146" t="str" cm="1">
        <f t="array" ref="S14">IFERROR(_xlfn.UNIQUE(Liability[[#This Row],[Category]]),"")</f>
        <v/>
      </c>
      <c r="T14" s="146" t="str">
        <f>IF(SUMIF(Liability[Category],Table3[[#This Row],[Category]],Liability[Amount])=0,"",SUMIF(Liability[Category],Table3[[#This Row],[Category]],Liability[Amount]))</f>
        <v/>
      </c>
    </row>
    <row r="15" spans="2:21" ht="16.5" hidden="1">
      <c r="B15" s="55"/>
      <c r="C15" s="55"/>
      <c r="D15" s="59"/>
      <c r="E15" s="56"/>
      <c r="F15" s="56"/>
      <c r="G15" s="56"/>
      <c r="H15" s="57"/>
      <c r="I15" s="56"/>
      <c r="S15" s="146" t="str" cm="1">
        <f t="array" ref="S15">IFERROR(_xlfn.UNIQUE(Liability[[#This Row],[Category]]),"")</f>
        <v/>
      </c>
      <c r="T15" s="146" t="str">
        <f>IF(SUMIF(Liability[Category],Table3[[#This Row],[Category]],Liability[Amount])=0,"",SUMIF(Liability[Category],Table3[[#This Row],[Category]],Liability[Amount]))</f>
        <v/>
      </c>
    </row>
    <row r="16" spans="2:21" ht="16.5" hidden="1">
      <c r="B16" s="55"/>
      <c r="C16" s="55"/>
      <c r="D16" s="59"/>
      <c r="E16" s="56"/>
      <c r="F16" s="56"/>
      <c r="G16" s="56"/>
      <c r="H16" s="57"/>
      <c r="I16" s="56"/>
      <c r="S16" s="146" t="str" cm="1">
        <f t="array" ref="S16">IFERROR(_xlfn.UNIQUE(Liability[[#This Row],[Category]]),"")</f>
        <v/>
      </c>
      <c r="T16" s="146" t="str">
        <f>IF(SUMIF(Liability[Category],Table3[[#This Row],[Category]],Liability[Amount])=0,"",SUMIF(Liability[Category],Table3[[#This Row],[Category]],Liability[Amount]))</f>
        <v/>
      </c>
    </row>
    <row r="17" spans="2:20" ht="16.5" hidden="1">
      <c r="B17" s="55"/>
      <c r="C17" s="55"/>
      <c r="D17" s="59"/>
      <c r="E17" s="56"/>
      <c r="F17" s="56"/>
      <c r="G17" s="56"/>
      <c r="H17" s="57"/>
      <c r="I17" s="56"/>
      <c r="S17" s="146" t="str" cm="1">
        <f t="array" ref="S17">IFERROR(_xlfn.UNIQUE(Liability[[#This Row],[Category]]),"")</f>
        <v/>
      </c>
      <c r="T17" s="146" t="str">
        <f>IF(SUMIF(Liability[Category],Table3[[#This Row],[Category]],Liability[Amount])=0,"",SUMIF(Liability[Category],Table3[[#This Row],[Category]],Liability[Amount]))</f>
        <v/>
      </c>
    </row>
    <row r="18" spans="2:20" hidden="1">
      <c r="B18" s="55"/>
      <c r="C18" s="55"/>
      <c r="D18" s="59"/>
      <c r="E18" s="56"/>
      <c r="F18" s="56"/>
      <c r="G18" s="56"/>
      <c r="H18" s="57"/>
      <c r="I18" s="56"/>
    </row>
    <row r="19" spans="2:20" hidden="1">
      <c r="B19" s="55"/>
      <c r="C19" s="55"/>
      <c r="D19" s="59"/>
      <c r="E19" s="56"/>
      <c r="F19" s="56"/>
      <c r="G19" s="56"/>
      <c r="H19" s="57"/>
      <c r="I19" s="56"/>
    </row>
    <row r="20" spans="2:20" hidden="1">
      <c r="B20" s="55"/>
      <c r="C20" s="55"/>
      <c r="D20" s="59"/>
      <c r="E20" s="56"/>
      <c r="F20" s="56"/>
      <c r="G20" s="56"/>
      <c r="H20" s="57"/>
      <c r="I20" s="56"/>
    </row>
    <row r="21" spans="2:20" hidden="1">
      <c r="B21" s="55"/>
      <c r="C21" s="55"/>
      <c r="D21" s="59"/>
      <c r="E21" s="56"/>
      <c r="F21" s="56"/>
      <c r="G21" s="56"/>
      <c r="H21" s="57"/>
      <c r="I21" s="56"/>
    </row>
    <row r="22" spans="2:20" hidden="1">
      <c r="B22" s="55"/>
      <c r="C22" s="55"/>
      <c r="D22" s="59"/>
      <c r="E22" s="56"/>
      <c r="F22" s="56"/>
      <c r="G22" s="56"/>
      <c r="H22" s="57"/>
      <c r="I22" s="56"/>
    </row>
    <row r="23" spans="2:20" hidden="1">
      <c r="B23" s="55"/>
      <c r="C23" s="55"/>
      <c r="D23" s="59"/>
      <c r="E23" s="56"/>
      <c r="F23" s="56"/>
      <c r="G23" s="56"/>
      <c r="H23" s="57"/>
      <c r="I23" s="56"/>
    </row>
    <row r="24" spans="2:20" hidden="1">
      <c r="B24" s="55"/>
      <c r="C24" s="55"/>
      <c r="D24" s="59"/>
      <c r="E24" s="56"/>
      <c r="F24" s="56"/>
      <c r="G24" s="56"/>
      <c r="H24" s="57"/>
      <c r="I24" s="56"/>
    </row>
    <row r="25" spans="2:20" hidden="1">
      <c r="B25" s="55"/>
      <c r="C25" s="55"/>
      <c r="D25" s="59"/>
      <c r="E25" s="56"/>
      <c r="F25" s="56"/>
      <c r="G25" s="56"/>
      <c r="H25" s="57"/>
      <c r="I25" s="56"/>
    </row>
    <row r="26" spans="2:20" hidden="1">
      <c r="B26" s="55"/>
      <c r="C26" s="55"/>
      <c r="D26" s="59"/>
      <c r="E26" s="56"/>
      <c r="F26" s="56"/>
      <c r="G26" s="56"/>
      <c r="H26" s="57"/>
      <c r="I26" s="56"/>
    </row>
    <row r="27" spans="2:20" hidden="1">
      <c r="B27" s="55"/>
      <c r="C27" s="55"/>
      <c r="D27" s="59"/>
      <c r="E27" s="56"/>
      <c r="F27" s="56"/>
      <c r="G27" s="56"/>
      <c r="H27" s="57"/>
      <c r="I27" s="56"/>
    </row>
    <row r="28" spans="2:20" hidden="1">
      <c r="B28" s="55"/>
      <c r="C28" s="55"/>
      <c r="D28" s="59"/>
      <c r="E28" s="56"/>
      <c r="F28" s="56"/>
      <c r="G28" s="56"/>
      <c r="H28" s="57"/>
      <c r="I28" s="56"/>
    </row>
    <row r="29" spans="2:20" hidden="1">
      <c r="B29" s="55"/>
      <c r="C29" s="55"/>
      <c r="D29" s="59"/>
      <c r="E29" s="56"/>
      <c r="F29" s="56"/>
      <c r="G29" s="56"/>
      <c r="H29" s="57"/>
      <c r="I29" s="56"/>
    </row>
    <row r="30" spans="2:20" hidden="1">
      <c r="B30" s="55"/>
      <c r="C30" s="55"/>
      <c r="D30" s="59"/>
      <c r="E30" s="56"/>
      <c r="F30" s="56"/>
      <c r="G30" s="56"/>
      <c r="H30" s="57"/>
      <c r="I30" s="56"/>
    </row>
    <row r="31" spans="2:20" hidden="1">
      <c r="B31" s="55"/>
      <c r="C31" s="55"/>
      <c r="D31" s="59"/>
      <c r="E31" s="56"/>
      <c r="F31" s="56"/>
      <c r="G31" s="56"/>
      <c r="H31" s="57"/>
      <c r="I31" s="56"/>
    </row>
    <row r="32" spans="2:20" hidden="1">
      <c r="B32" s="55"/>
      <c r="C32" s="55"/>
      <c r="D32" s="59"/>
      <c r="E32" s="56"/>
      <c r="F32" s="56"/>
      <c r="G32" s="56"/>
      <c r="H32" s="57"/>
      <c r="I32" s="56"/>
    </row>
    <row r="33" spans="2:9" hidden="1">
      <c r="B33" s="55"/>
      <c r="C33" s="55"/>
      <c r="D33" s="59"/>
      <c r="E33" s="56"/>
      <c r="F33" s="56"/>
      <c r="G33" s="56"/>
      <c r="H33" s="57"/>
      <c r="I33" s="56"/>
    </row>
    <row r="34" spans="2:9" hidden="1">
      <c r="B34" s="55"/>
      <c r="C34" s="55"/>
      <c r="D34" s="59"/>
      <c r="E34" s="56"/>
      <c r="F34" s="56"/>
      <c r="G34" s="56"/>
      <c r="H34" s="57"/>
      <c r="I34" s="56"/>
    </row>
    <row r="35" spans="2:9" hidden="1">
      <c r="B35" s="55"/>
      <c r="C35" s="55"/>
      <c r="D35" s="59"/>
      <c r="E35" s="56"/>
      <c r="F35" s="56"/>
      <c r="G35" s="56"/>
      <c r="H35" s="57"/>
      <c r="I35" s="56"/>
    </row>
    <row r="36" spans="2:9" hidden="1">
      <c r="B36" s="55"/>
      <c r="C36" s="55"/>
      <c r="D36" s="59"/>
      <c r="E36" s="56"/>
      <c r="F36" s="56"/>
      <c r="G36" s="56"/>
      <c r="H36" s="57"/>
      <c r="I36" s="56"/>
    </row>
    <row r="37" spans="2:9" hidden="1">
      <c r="B37" s="55"/>
      <c r="C37" s="55"/>
      <c r="D37" s="59"/>
      <c r="E37" s="56"/>
      <c r="F37" s="56"/>
      <c r="G37" s="56"/>
      <c r="H37" s="57"/>
      <c r="I37" s="56"/>
    </row>
    <row r="38" spans="2:9" hidden="1">
      <c r="B38" s="55"/>
      <c r="C38" s="55"/>
      <c r="D38" s="59"/>
      <c r="E38" s="56"/>
      <c r="F38" s="56"/>
      <c r="G38" s="56"/>
      <c r="H38" s="57"/>
      <c r="I38" s="56"/>
    </row>
    <row r="39" spans="2:9" hidden="1">
      <c r="B39" s="55"/>
      <c r="C39" s="55"/>
      <c r="D39" s="59"/>
      <c r="E39" s="56"/>
      <c r="F39" s="56"/>
      <c r="G39" s="56"/>
      <c r="H39" s="57"/>
      <c r="I39" s="56"/>
    </row>
    <row r="40" spans="2:9" hidden="1">
      <c r="B40" s="55"/>
      <c r="C40" s="55"/>
      <c r="D40" s="59"/>
      <c r="E40" s="56"/>
      <c r="F40" s="56"/>
      <c r="G40" s="56"/>
      <c r="H40" s="57"/>
      <c r="I40" s="56"/>
    </row>
    <row r="41" spans="2:9" hidden="1">
      <c r="B41" s="55"/>
      <c r="C41" s="55"/>
      <c r="D41" s="59"/>
      <c r="E41" s="56"/>
      <c r="F41" s="56"/>
      <c r="G41" s="56"/>
      <c r="H41" s="57"/>
      <c r="I41" s="56"/>
    </row>
    <row r="42" spans="2:9" hidden="1">
      <c r="B42" s="55"/>
      <c r="C42" s="55"/>
      <c r="D42" s="59"/>
      <c r="E42" s="56"/>
      <c r="F42" s="56"/>
      <c r="G42" s="56"/>
      <c r="H42" s="57"/>
      <c r="I42" s="56"/>
    </row>
    <row r="43" spans="2:9" hidden="1">
      <c r="B43" s="55"/>
      <c r="C43" s="55"/>
      <c r="D43" s="59"/>
      <c r="E43" s="56"/>
      <c r="F43" s="56"/>
      <c r="G43" s="56"/>
      <c r="H43" s="57"/>
      <c r="I43" s="56"/>
    </row>
    <row r="44" spans="2:9" hidden="1">
      <c r="B44" s="55"/>
      <c r="C44" s="55"/>
      <c r="D44" s="59"/>
      <c r="E44" s="56"/>
      <c r="F44" s="56"/>
      <c r="G44" s="56"/>
      <c r="H44" s="57"/>
      <c r="I44" s="56"/>
    </row>
    <row r="45" spans="2:9" hidden="1">
      <c r="B45" s="55"/>
      <c r="C45" s="55"/>
      <c r="D45" s="59"/>
      <c r="E45" s="56"/>
      <c r="F45" s="56"/>
      <c r="G45" s="56"/>
      <c r="H45" s="57"/>
      <c r="I45" s="56"/>
    </row>
    <row r="46" spans="2:9">
      <c r="B46" s="55"/>
      <c r="C46" s="55"/>
      <c r="D46" s="59"/>
      <c r="E46" s="56"/>
      <c r="F46" s="56"/>
      <c r="G46" s="56"/>
      <c r="H46" s="57"/>
      <c r="I46" s="56"/>
    </row>
    <row r="47" spans="2:9">
      <c r="B47" s="55"/>
      <c r="C47" s="55"/>
      <c r="D47" s="59"/>
      <c r="E47" s="56"/>
      <c r="F47" s="56"/>
      <c r="G47" s="56"/>
      <c r="H47" s="57"/>
      <c r="I47" s="56"/>
    </row>
    <row r="48" spans="2:9">
      <c r="B48" s="55"/>
      <c r="C48" s="55"/>
      <c r="D48" s="59"/>
      <c r="E48" s="56"/>
      <c r="F48" s="56"/>
      <c r="G48" s="56"/>
      <c r="H48" s="57"/>
      <c r="I48" s="56"/>
    </row>
    <row r="49" spans="2:9">
      <c r="B49" s="55"/>
      <c r="C49" s="55"/>
      <c r="D49" s="59"/>
      <c r="E49" s="56"/>
      <c r="F49" s="56"/>
      <c r="G49" s="56"/>
      <c r="H49" s="57"/>
      <c r="I49" s="56"/>
    </row>
    <row r="50" spans="2:9">
      <c r="B50" s="55"/>
      <c r="C50" s="55"/>
      <c r="D50" s="59"/>
      <c r="E50" s="56"/>
      <c r="F50" s="56"/>
      <c r="G50" s="56"/>
      <c r="H50" s="57"/>
      <c r="I50" s="56"/>
    </row>
    <row r="51" spans="2:9">
      <c r="B51" s="55"/>
      <c r="C51" s="55"/>
      <c r="D51" s="59"/>
      <c r="E51" s="56"/>
      <c r="F51" s="56"/>
      <c r="G51" s="56"/>
      <c r="H51" s="57"/>
      <c r="I51" s="56"/>
    </row>
    <row r="52" spans="2:9" ht="18.75">
      <c r="B52" s="54" t="s">
        <v>20</v>
      </c>
      <c r="C52" s="53"/>
      <c r="D52" s="53"/>
      <c r="E52" s="54" t="s">
        <v>21</v>
      </c>
      <c r="F52" s="53"/>
      <c r="G52" s="53"/>
      <c r="H52" s="53"/>
      <c r="I52" s="53"/>
    </row>
    <row r="53" spans="2:9" ht="24.75" customHeight="1" thickBot="1">
      <c r="B53" s="50" t="s">
        <v>14</v>
      </c>
      <c r="C53" s="50" t="s">
        <v>17</v>
      </c>
      <c r="E53" s="50" t="s">
        <v>22</v>
      </c>
    </row>
    <row r="54" spans="2:9">
      <c r="B54" t="str" cm="1">
        <f t="array" ref="B54:B55">_xlfn.UNIQUE(_xlfn.ANCHORARRAY(C5))</f>
        <v>Banking Services</v>
      </c>
      <c r="C54" s="52" cm="1">
        <f t="array" ref="C54:C55">SUMIF(_xlfn.ANCHORARRAY(C5),_xlfn.ANCHORARRAY(B54),_xlfn.ANCHORARRAY(F5))</f>
        <v>14897.999999999998</v>
      </c>
      <c r="E54" s="52">
        <f>SUM(_xlfn.ANCHORARRAY(I5))</f>
        <v>937.99999999999818</v>
      </c>
    </row>
    <row r="55" spans="2:9">
      <c r="B55" t="str">
        <v>Automobiles &amp; Auto Parts</v>
      </c>
      <c r="C55" s="52">
        <v>9430</v>
      </c>
    </row>
    <row r="56" spans="2:9">
      <c r="C56" s="52"/>
    </row>
    <row r="57" spans="2:9">
      <c r="C57" s="52"/>
    </row>
    <row r="58" spans="2:9">
      <c r="C58" s="52"/>
    </row>
    <row r="59" spans="2:9">
      <c r="C59" s="52"/>
    </row>
    <row r="60" spans="2:9">
      <c r="C60" s="52"/>
    </row>
    <row r="61" spans="2:9">
      <c r="C61" s="52"/>
    </row>
    <row r="62" spans="2:9">
      <c r="C62" s="52"/>
    </row>
    <row r="63" spans="2:9" hidden="1">
      <c r="C63" s="52"/>
    </row>
    <row r="64" spans="2:9" hidden="1">
      <c r="C64" s="52"/>
    </row>
    <row r="65" spans="3:3" hidden="1">
      <c r="C65" s="52"/>
    </row>
    <row r="66" spans="3:3" hidden="1">
      <c r="C66" s="52"/>
    </row>
    <row r="67" spans="3:3" hidden="1">
      <c r="C67" s="52"/>
    </row>
    <row r="68" spans="3:3" hidden="1">
      <c r="C68" s="52"/>
    </row>
    <row r="69" spans="3:3" hidden="1">
      <c r="C69" s="52"/>
    </row>
    <row r="70" spans="3:3" hidden="1">
      <c r="C70" s="52"/>
    </row>
    <row r="71" spans="3:3" hidden="1">
      <c r="C71" s="52"/>
    </row>
    <row r="72" spans="3:3" hidden="1">
      <c r="C72" s="52"/>
    </row>
    <row r="73" spans="3:3" hidden="1">
      <c r="C73" s="52"/>
    </row>
    <row r="74" spans="3:3" hidden="1">
      <c r="C74" s="52"/>
    </row>
    <row r="75" spans="3:3" hidden="1">
      <c r="C75" s="52"/>
    </row>
    <row r="76" spans="3:3" hidden="1">
      <c r="C76" s="52"/>
    </row>
    <row r="77" spans="3:3" hidden="1">
      <c r="C77" s="52"/>
    </row>
    <row r="78" spans="3:3" hidden="1">
      <c r="C78" s="52"/>
    </row>
    <row r="79" spans="3:3" hidden="1">
      <c r="C79" s="52"/>
    </row>
    <row r="80" spans="3:3" hidden="1">
      <c r="C80" s="52"/>
    </row>
    <row r="81" spans="3:3" hidden="1">
      <c r="C81" s="52"/>
    </row>
    <row r="82" spans="3:3" hidden="1">
      <c r="C82" s="52"/>
    </row>
    <row r="83" spans="3:3" hidden="1">
      <c r="C83" s="52"/>
    </row>
    <row r="84" spans="3:3" hidden="1">
      <c r="C84" s="52"/>
    </row>
    <row r="85" spans="3:3" hidden="1">
      <c r="C85" s="52"/>
    </row>
    <row r="86" spans="3:3" hidden="1">
      <c r="C86" s="52"/>
    </row>
    <row r="87" spans="3:3" hidden="1">
      <c r="C87" s="52"/>
    </row>
    <row r="88" spans="3:3" hidden="1">
      <c r="C88" s="52"/>
    </row>
    <row r="89" spans="3:3" hidden="1">
      <c r="C89" s="52"/>
    </row>
    <row r="90" spans="3:3" hidden="1">
      <c r="C90" s="52"/>
    </row>
    <row r="91" spans="3:3" hidden="1">
      <c r="C91" s="52"/>
    </row>
    <row r="92" spans="3:3" hidden="1">
      <c r="C92" s="52"/>
    </row>
    <row r="93" spans="3:3" hidden="1">
      <c r="C93" s="52"/>
    </row>
    <row r="94" spans="3:3" hidden="1">
      <c r="C94" s="52"/>
    </row>
    <row r="95" spans="3:3" hidden="1">
      <c r="C95" s="52"/>
    </row>
    <row r="96" spans="3:3" hidden="1">
      <c r="C96" s="52"/>
    </row>
    <row r="97" spans="3:3" hidden="1">
      <c r="C97" s="52"/>
    </row>
    <row r="98" spans="3:3" hidden="1">
      <c r="C98" s="52"/>
    </row>
    <row r="99" spans="3:3" hidden="1">
      <c r="C99" s="52"/>
    </row>
    <row r="100" spans="3:3" hidden="1">
      <c r="C100" s="52"/>
    </row>
    <row r="101" spans="3:3">
      <c r="C101" s="52"/>
    </row>
    <row r="102" spans="3:3">
      <c r="C102" s="52"/>
    </row>
    <row r="103" spans="3:3" ht="7.5" customHeight="1">
      <c r="C103" s="52"/>
    </row>
    <row r="104" spans="3:3" ht="15" customHeight="1">
      <c r="C104" s="52"/>
    </row>
    <row r="105" spans="3:3">
      <c r="C105" s="52"/>
    </row>
    <row r="106" spans="3:3">
      <c r="C106" s="52"/>
    </row>
    <row r="107" spans="3:3" ht="12.75" customHeight="1">
      <c r="C107" s="52"/>
    </row>
    <row r="108" spans="3:3">
      <c r="C108" s="52"/>
    </row>
    <row r="109" spans="3:3">
      <c r="C109" s="52"/>
    </row>
    <row r="110" spans="3:3">
      <c r="C110" s="52"/>
    </row>
    <row r="111" spans="3:3">
      <c r="C111" s="52"/>
    </row>
    <row r="112" spans="3:3">
      <c r="C112" s="52"/>
    </row>
    <row r="113" spans="3:3">
      <c r="C113" s="52"/>
    </row>
    <row r="114" spans="3:3">
      <c r="C114" s="52"/>
    </row>
    <row r="115" spans="3:3">
      <c r="C115" s="52"/>
    </row>
    <row r="116" spans="3:3">
      <c r="C116" s="52"/>
    </row>
    <row r="117" spans="3:3">
      <c r="C117" s="52"/>
    </row>
    <row r="118" spans="3:3">
      <c r="C118" s="52"/>
    </row>
    <row r="119" spans="3:3">
      <c r="C119" s="52"/>
    </row>
    <row r="120" spans="3:3">
      <c r="C120" s="52"/>
    </row>
    <row r="121" spans="3:3">
      <c r="C121" s="52"/>
    </row>
    <row r="122" spans="3:3">
      <c r="C122" s="52"/>
    </row>
    <row r="123" spans="3:3">
      <c r="C123" s="52"/>
    </row>
    <row r="124" spans="3:3">
      <c r="C124" s="52"/>
    </row>
    <row r="125" spans="3:3">
      <c r="C125" s="52"/>
    </row>
    <row r="126" spans="3:3">
      <c r="C126" s="52"/>
    </row>
    <row r="127" spans="3:3">
      <c r="C127" s="52"/>
    </row>
    <row r="128" spans="3:3">
      <c r="C128" s="52"/>
    </row>
    <row r="129" spans="3:3">
      <c r="C129" s="52"/>
    </row>
    <row r="130" spans="3:3">
      <c r="C130" s="52"/>
    </row>
    <row r="131" spans="3:3">
      <c r="C131" s="52"/>
    </row>
    <row r="132" spans="3:3">
      <c r="C132" s="52"/>
    </row>
    <row r="133" spans="3:3">
      <c r="C133" s="52"/>
    </row>
    <row r="134" spans="3:3">
      <c r="C134" s="52"/>
    </row>
    <row r="135" spans="3:3">
      <c r="C135" s="52"/>
    </row>
    <row r="136" spans="3:3">
      <c r="C136" s="52"/>
    </row>
    <row r="137" spans="3:3">
      <c r="C137" s="52"/>
    </row>
    <row r="138" spans="3:3">
      <c r="C138" s="52"/>
    </row>
  </sheetData>
  <conditionalFormatting sqref="I5:I51">
    <cfRule type="cellIs" dxfId="1" priority="6" operator="lessThan">
      <formula>0</formula>
    </cfRule>
  </conditionalFormatting>
  <conditionalFormatting sqref="E54">
    <cfRule type="cellIs" dxfId="0" priority="1" operator="lessThan">
      <formula>0</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6" id="{296D6A02-FC61-4123-B85A-29EDED6355AB}">
            <x14:iconSet iconSet="3Triangles">
              <x14:cfvo type="percent">
                <xm:f>0</xm:f>
              </x14:cfvo>
              <x14:cfvo type="num">
                <xm:f>0</xm:f>
              </x14:cfvo>
              <x14:cfvo type="num" gte="0">
                <xm:f>0</xm:f>
              </x14:cfvo>
            </x14:iconSet>
          </x14:cfRule>
          <xm:sqref>H5:H51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9347C-74CD-4BA5-B00A-2C0095286319}">
  <sheetPr codeName="Sheet8"/>
  <dimension ref="A1:R28"/>
  <sheetViews>
    <sheetView topLeftCell="A10" zoomScale="90" zoomScaleNormal="90" workbookViewId="0">
      <selection activeCell="E18" sqref="E18"/>
    </sheetView>
  </sheetViews>
  <sheetFormatPr defaultRowHeight="15"/>
  <cols>
    <col min="1" max="1" width="43.42578125" style="25" customWidth="1"/>
    <col min="2" max="2" width="11" style="25" customWidth="1"/>
    <col min="3" max="3" width="27.42578125" style="25" customWidth="1"/>
    <col min="4" max="5" width="9.42578125" style="25"/>
    <col min="6" max="6" width="56.42578125" style="25" customWidth="1"/>
    <col min="7" max="7" width="13.5703125" style="25" customWidth="1"/>
    <col min="8" max="8" width="28.42578125" style="25" customWidth="1"/>
    <col min="9" max="9" width="14.5703125" style="27" customWidth="1"/>
    <col min="10" max="18" width="9.42578125" style="27"/>
  </cols>
  <sheetData>
    <row r="1" spans="1:11" ht="32.25" customHeight="1">
      <c r="A1" s="181" t="s">
        <v>123</v>
      </c>
      <c r="B1" s="181"/>
      <c r="C1" s="181"/>
      <c r="D1" s="181"/>
      <c r="E1" s="181"/>
      <c r="F1" s="181"/>
      <c r="G1" s="181"/>
      <c r="H1" s="181"/>
      <c r="I1" s="23"/>
      <c r="J1" s="23"/>
    </row>
    <row r="2" spans="1:11">
      <c r="A2" s="13"/>
      <c r="B2" s="13"/>
      <c r="C2" s="13"/>
      <c r="D2" s="13"/>
      <c r="E2" s="13"/>
      <c r="F2" s="13"/>
      <c r="G2" s="13"/>
      <c r="H2" s="13"/>
      <c r="I2" s="28"/>
      <c r="J2" s="23"/>
      <c r="K2" s="23"/>
    </row>
    <row r="3" spans="1:11">
      <c r="A3" s="35" t="s">
        <v>124</v>
      </c>
      <c r="B3" s="33" t="s">
        <v>34</v>
      </c>
      <c r="C3" s="19" t="s">
        <v>25</v>
      </c>
      <c r="D3" s="13"/>
      <c r="E3" s="13"/>
      <c r="F3" s="35" t="s">
        <v>125</v>
      </c>
      <c r="G3" s="19" t="s">
        <v>34</v>
      </c>
      <c r="H3" s="21" t="s">
        <v>25</v>
      </c>
      <c r="I3" s="29"/>
      <c r="J3" s="23"/>
      <c r="K3" s="23"/>
    </row>
    <row r="4" spans="1:11">
      <c r="A4" s="156" t="s">
        <v>126</v>
      </c>
      <c r="B4" s="38" t="s">
        <v>38</v>
      </c>
      <c r="C4" s="17">
        <v>120000</v>
      </c>
      <c r="D4" s="12"/>
      <c r="E4" s="12"/>
      <c r="F4" s="156" t="s">
        <v>127</v>
      </c>
      <c r="G4" s="38" t="s">
        <v>38</v>
      </c>
      <c r="H4" s="16">
        <v>1000</v>
      </c>
      <c r="I4" s="30"/>
      <c r="J4" s="30"/>
      <c r="K4" s="23"/>
    </row>
    <row r="5" spans="1:11">
      <c r="A5" s="156" t="s">
        <v>128</v>
      </c>
      <c r="B5" s="38" t="s">
        <v>38</v>
      </c>
      <c r="C5" s="17">
        <v>250</v>
      </c>
      <c r="D5" s="12"/>
      <c r="E5" s="12"/>
      <c r="F5" s="156" t="s">
        <v>129</v>
      </c>
      <c r="G5" s="38" t="s">
        <v>38</v>
      </c>
      <c r="H5" s="16">
        <v>2000</v>
      </c>
      <c r="I5" s="31"/>
      <c r="J5" s="30"/>
      <c r="K5" s="23"/>
    </row>
    <row r="6" spans="1:11">
      <c r="A6" s="39" t="s">
        <v>130</v>
      </c>
      <c r="B6" s="38" t="s">
        <v>38</v>
      </c>
      <c r="C6" s="17">
        <f>C4-C5</f>
        <v>119750</v>
      </c>
      <c r="D6" s="12"/>
      <c r="E6" s="12"/>
      <c r="F6" s="156" t="s">
        <v>131</v>
      </c>
      <c r="G6" s="38" t="s">
        <v>38</v>
      </c>
      <c r="H6" s="16">
        <v>4000</v>
      </c>
      <c r="I6" s="24"/>
      <c r="J6" s="30"/>
      <c r="K6" s="23"/>
    </row>
    <row r="7" spans="1:11">
      <c r="A7" s="12"/>
      <c r="B7" s="12"/>
      <c r="C7" s="12"/>
      <c r="D7" s="12"/>
      <c r="E7" s="12"/>
      <c r="F7" s="156" t="s">
        <v>132</v>
      </c>
      <c r="G7" s="38" t="s">
        <v>38</v>
      </c>
      <c r="H7" s="16">
        <v>1000</v>
      </c>
      <c r="I7" s="31"/>
      <c r="J7" s="30"/>
      <c r="K7" s="23"/>
    </row>
    <row r="8" spans="1:11">
      <c r="A8" s="45"/>
      <c r="B8" s="34" t="s">
        <v>34</v>
      </c>
      <c r="C8" s="20" t="s">
        <v>25</v>
      </c>
      <c r="D8" s="12"/>
      <c r="E8" s="12"/>
      <c r="F8" s="156" t="s">
        <v>133</v>
      </c>
      <c r="G8" s="38" t="s">
        <v>38</v>
      </c>
      <c r="H8" s="16">
        <v>9000</v>
      </c>
      <c r="I8" s="24"/>
      <c r="J8" s="30"/>
      <c r="K8" s="23"/>
    </row>
    <row r="9" spans="1:11">
      <c r="A9" s="156" t="s">
        <v>134</v>
      </c>
      <c r="B9" s="38" t="s">
        <v>38</v>
      </c>
      <c r="C9" s="17">
        <v>100</v>
      </c>
      <c r="D9" s="12"/>
      <c r="E9" s="12"/>
      <c r="F9" s="156" t="s">
        <v>135</v>
      </c>
      <c r="G9" s="38" t="s">
        <v>38</v>
      </c>
      <c r="H9" s="16">
        <v>10000</v>
      </c>
      <c r="I9" s="31"/>
      <c r="J9" s="30"/>
      <c r="K9" s="23"/>
    </row>
    <row r="10" spans="1:11">
      <c r="A10" s="12"/>
      <c r="B10" s="12"/>
      <c r="C10" s="12"/>
      <c r="D10" s="12"/>
      <c r="E10" s="12"/>
      <c r="F10" s="156" t="s">
        <v>136</v>
      </c>
      <c r="G10" s="38" t="s">
        <v>38</v>
      </c>
      <c r="H10" s="16">
        <v>10000</v>
      </c>
      <c r="I10" s="31"/>
      <c r="J10" s="30"/>
      <c r="K10" s="23"/>
    </row>
    <row r="11" spans="1:11">
      <c r="A11" s="36" t="s">
        <v>137</v>
      </c>
      <c r="B11" s="33" t="s">
        <v>34</v>
      </c>
      <c r="C11" s="20" t="s">
        <v>25</v>
      </c>
      <c r="D11" s="12"/>
      <c r="E11" s="12"/>
      <c r="F11" s="156" t="s">
        <v>138</v>
      </c>
      <c r="G11" s="38" t="s">
        <v>38</v>
      </c>
      <c r="H11" s="16">
        <v>10000</v>
      </c>
      <c r="I11" s="31"/>
      <c r="J11" s="30"/>
      <c r="K11" s="23"/>
    </row>
    <row r="12" spans="1:11">
      <c r="A12" s="156" t="s">
        <v>139</v>
      </c>
      <c r="B12" s="38" t="s">
        <v>38</v>
      </c>
      <c r="C12" s="17">
        <v>400</v>
      </c>
      <c r="D12" s="12"/>
      <c r="E12" s="12"/>
      <c r="F12" s="156" t="s">
        <v>140</v>
      </c>
      <c r="G12" s="38" t="s">
        <v>38</v>
      </c>
      <c r="H12" s="16">
        <v>10000</v>
      </c>
      <c r="I12" s="31"/>
      <c r="J12" s="30"/>
      <c r="K12" s="23"/>
    </row>
    <row r="13" spans="1:11">
      <c r="A13" s="156" t="s">
        <v>141</v>
      </c>
      <c r="B13" s="38" t="s">
        <v>38</v>
      </c>
      <c r="C13" s="17">
        <v>0</v>
      </c>
      <c r="D13" s="12"/>
      <c r="E13" s="12"/>
      <c r="F13" s="156" t="s">
        <v>142</v>
      </c>
      <c r="G13" s="38" t="s">
        <v>38</v>
      </c>
      <c r="H13" s="16">
        <v>10000</v>
      </c>
      <c r="I13" s="31"/>
      <c r="J13" s="30"/>
      <c r="K13" s="23"/>
    </row>
    <row r="14" spans="1:11">
      <c r="A14" s="156" t="s">
        <v>143</v>
      </c>
      <c r="B14" s="38" t="s">
        <v>38</v>
      </c>
      <c r="C14" s="17">
        <v>600</v>
      </c>
      <c r="D14" s="12"/>
      <c r="E14" s="12"/>
      <c r="F14" s="156" t="s">
        <v>144</v>
      </c>
      <c r="G14" s="38" t="s">
        <v>38</v>
      </c>
      <c r="H14" s="16">
        <v>10000</v>
      </c>
      <c r="I14" s="31"/>
      <c r="J14" s="30"/>
      <c r="K14" s="23"/>
    </row>
    <row r="15" spans="1:11">
      <c r="A15" s="156" t="s">
        <v>145</v>
      </c>
      <c r="B15" s="38" t="s">
        <v>38</v>
      </c>
      <c r="C15" s="17">
        <v>0</v>
      </c>
      <c r="D15" s="12"/>
      <c r="E15" s="12"/>
      <c r="F15" s="156" t="s">
        <v>146</v>
      </c>
      <c r="G15" s="38" t="s">
        <v>38</v>
      </c>
      <c r="H15" s="16">
        <v>4000</v>
      </c>
      <c r="I15" s="23"/>
      <c r="J15" s="23"/>
      <c r="K15" s="23"/>
    </row>
    <row r="16" spans="1:11">
      <c r="A16" s="156" t="s">
        <v>147</v>
      </c>
      <c r="B16" s="38" t="s">
        <v>38</v>
      </c>
      <c r="C16" s="17">
        <v>0</v>
      </c>
      <c r="D16" s="12"/>
      <c r="E16" s="12"/>
      <c r="F16" s="156" t="s">
        <v>148</v>
      </c>
      <c r="G16" s="38" t="s">
        <v>38</v>
      </c>
      <c r="H16" s="16">
        <v>0</v>
      </c>
      <c r="I16" s="24"/>
      <c r="J16" s="30"/>
      <c r="K16" s="23"/>
    </row>
    <row r="17" spans="1:11">
      <c r="A17" s="156" t="s">
        <v>66</v>
      </c>
      <c r="B17" s="38" t="s">
        <v>38</v>
      </c>
      <c r="C17" s="17">
        <f>SUM(C6,C9,C12:C16)</f>
        <v>120850</v>
      </c>
      <c r="D17" s="12"/>
      <c r="E17" s="12"/>
      <c r="F17" s="156" t="s">
        <v>149</v>
      </c>
      <c r="G17" s="38" t="s">
        <v>38</v>
      </c>
      <c r="H17" s="16">
        <v>0</v>
      </c>
      <c r="I17" s="31"/>
      <c r="J17" s="30"/>
      <c r="K17" s="23"/>
    </row>
    <row r="18" spans="1:11">
      <c r="A18" s="37" t="s">
        <v>150</v>
      </c>
      <c r="B18" s="38" t="s">
        <v>38</v>
      </c>
      <c r="C18" s="17">
        <v>100</v>
      </c>
      <c r="D18" s="12"/>
      <c r="E18" s="12"/>
      <c r="F18" s="156" t="s">
        <v>151</v>
      </c>
      <c r="G18" s="38" t="s">
        <v>38</v>
      </c>
      <c r="H18" s="16">
        <v>0</v>
      </c>
      <c r="I18" s="31"/>
      <c r="J18" s="30"/>
      <c r="K18" s="23"/>
    </row>
    <row r="19" spans="1:11">
      <c r="A19" s="39" t="s">
        <v>152</v>
      </c>
      <c r="B19" s="38" t="s">
        <v>38</v>
      </c>
      <c r="C19" s="17">
        <f>C17-C18</f>
        <v>120750</v>
      </c>
      <c r="D19" s="12"/>
      <c r="E19" s="12"/>
      <c r="F19" s="39" t="s">
        <v>153</v>
      </c>
      <c r="G19" s="43" t="s">
        <v>38</v>
      </c>
      <c r="H19" s="42">
        <f>C19-SUM(H4:H18)</f>
        <v>39750</v>
      </c>
      <c r="I19" s="41"/>
      <c r="J19" s="23"/>
      <c r="K19" s="23"/>
    </row>
    <row r="20" spans="1:11">
      <c r="A20" s="39" t="s">
        <v>154</v>
      </c>
      <c r="B20" s="38" t="s">
        <v>38</v>
      </c>
      <c r="C20" s="46">
        <f>VLOOKUP(H19,'Income Tax Table'!A3:F14,2,TRUE) +(H19-VLOOKUP(H19,'Income Tax Table'!A3:F14,1,TRUE)) * (VLOOKUP(H19,'Income Tax Table'!A3:F14,4,TRUE))</f>
        <v>541.25</v>
      </c>
      <c r="D20" s="23"/>
      <c r="E20" s="12"/>
      <c r="F20" s="12"/>
      <c r="G20" s="14"/>
      <c r="H20" s="14"/>
      <c r="I20" s="24"/>
      <c r="J20" s="24"/>
      <c r="K20" s="32"/>
    </row>
    <row r="21" spans="1:11">
      <c r="A21" s="39" t="s">
        <v>155</v>
      </c>
      <c r="B21" s="38" t="s">
        <v>38</v>
      </c>
      <c r="C21" s="44">
        <v>0</v>
      </c>
      <c r="D21" s="23"/>
      <c r="E21" s="12"/>
      <c r="F21" s="14"/>
      <c r="G21" s="14"/>
      <c r="H21" s="14"/>
      <c r="I21" s="29"/>
      <c r="J21" s="29"/>
      <c r="K21" s="29"/>
    </row>
    <row r="22" spans="1:11">
      <c r="A22" s="39" t="s">
        <v>156</v>
      </c>
      <c r="B22" s="38" t="s">
        <v>38</v>
      </c>
      <c r="C22" s="17">
        <f>MAX(0,C20-C21)</f>
        <v>541.25</v>
      </c>
      <c r="D22" s="23"/>
      <c r="E22" s="12"/>
      <c r="F22" s="15"/>
      <c r="G22" s="14"/>
      <c r="H22" s="14"/>
      <c r="I22" s="29"/>
      <c r="J22" s="29"/>
      <c r="K22" s="29"/>
    </row>
    <row r="23" spans="1:11">
      <c r="A23" s="23"/>
      <c r="B23" s="23"/>
      <c r="C23" s="23"/>
      <c r="D23" s="23"/>
      <c r="E23" s="23"/>
      <c r="F23" s="49"/>
      <c r="G23" s="24"/>
      <c r="H23" s="49"/>
      <c r="I23" s="29"/>
      <c r="J23" s="29"/>
      <c r="K23" s="29"/>
    </row>
    <row r="24" spans="1:11">
      <c r="A24" s="23"/>
      <c r="B24" s="23"/>
      <c r="C24" s="23"/>
      <c r="D24" s="23"/>
      <c r="E24" s="23"/>
      <c r="F24" s="24"/>
      <c r="G24" s="24"/>
      <c r="H24" s="49"/>
      <c r="I24" s="24"/>
      <c r="J24" s="30"/>
      <c r="K24" s="30"/>
    </row>
    <row r="25" spans="1:11">
      <c r="A25" s="23"/>
      <c r="B25" s="23"/>
      <c r="C25" s="23"/>
      <c r="D25" s="23"/>
      <c r="E25" s="23"/>
      <c r="F25" s="23"/>
      <c r="G25" s="23"/>
      <c r="H25" s="23"/>
      <c r="I25" s="23"/>
      <c r="J25" s="23"/>
      <c r="K25" s="23"/>
    </row>
    <row r="28" spans="1:11">
      <c r="F28" s="26"/>
    </row>
  </sheetData>
  <protectedRanges>
    <protectedRange algorithmName="SHA-512" hashValue="R4nA8NRdRSR3Fz7/j3et84tKRhJk93z+WFXTCDog/0bi7PZdQcIqoVhEq2c6XmPVQlPwCa5YUVCPDYna5hwelg==" saltValue="K72issqUzOCW5dKX7+C1Mg==" spinCount="100000" sqref="C20:C22" name="Range1"/>
  </protectedRanges>
  <mergeCells count="1">
    <mergeCell ref="A1:H1"/>
  </mergeCells>
  <dataValidations count="26">
    <dataValidation type="whole" allowBlank="1" showInputMessage="1" showErrorMessage="1" sqref="C19 C22 C6 C17 H19" xr:uid="{56535468-A7A4-4E1D-BF64-303462CD57DD}">
      <formula1>0</formula1>
      <formula2>2147483647</formula2>
    </dataValidation>
    <dataValidation allowBlank="1" showInputMessage="1" showErrorMessage="1" sqref="C20" xr:uid="{FAB89EEF-CBCA-422F-A1E1-C54E83EE7931}"/>
    <dataValidation type="whole" allowBlank="1" showInputMessage="1" showErrorMessage="1" errorTitle="Invalid Input " error="The amount must be positive number with no decimals only." promptTitle="Employment Income" prompt="Enter your gross employment income for the previous year&amp;(including any bonuses, fixed allowances and any benefits in kind. " sqref="C4" xr:uid="{D0603E3D-936E-411A-BD80-98A08C30CD50}">
      <formula1>0</formula1>
      <formula2>2147483647</formula2>
    </dataValidation>
    <dataValidation type="whole" allowBlank="1" showInputMessage="1" showErrorMessage="1" errorTitle="Invalid Input" error="The amount must be positive number with no decimals only." promptTitle="Employment Expenses " prompt="Enter your allowable employment expenses." sqref="C5" xr:uid="{E7040907-CDA8-4D56-A07A-59F69D4D3A1B}">
      <formula1>0</formula1>
      <formula2>2147483647</formula2>
    </dataValidation>
    <dataValidation type="whole" allowBlank="1" showInputMessage="1" showErrorMessage="1" errorTitle="Invalid Input" error="The amount must be positive number with no decimals only." promptTitle="TBPV" prompt="Enter your income from trade, business, profession or vocation in the previous year." sqref="C9" xr:uid="{0C61FB15-E5D1-4A08-8BAE-7EB5946C71F6}">
      <formula1>0</formula1>
      <formula2>2147483647</formula2>
    </dataValidation>
    <dataValidation type="whole" allowBlank="1" showInputMessage="1" showErrorMessage="1" errorTitle="Invalid Input" error="The amount must be positive number with no decimal only." promptTitle="Dividends" prompt="Enter your dividends received in the previous year." sqref="C12" xr:uid="{E13973B3-8E08-4F67-9B5D-55D1FE279598}">
      <formula1>0</formula1>
      <formula2>2147483647</formula2>
    </dataValidation>
    <dataValidation type="whole" allowBlank="1" showInputMessage="1" showErrorMessage="1" errorTitle="Invalid Input" error="The amount must be positive number with no decimal only." promptTitle="Interest" prompt="Enter your interest income received in the previous year if it is NOT from deposits with approved banks or licensed finance companies in Singapore." sqref="C13" xr:uid="{3E876331-3E4A-481A-8F7A-084A76EAA7C5}">
      <formula1>0</formula1>
      <formula2>2147483647</formula2>
    </dataValidation>
    <dataValidation type="whole" allowBlank="1" showInputMessage="1" showErrorMessage="1" errorTitle="Invalid Input " error="The amount must be positive number without decimal only." promptTitle="Rent From Property" prompt="Enter your net rent from property in the previous year." sqref="C14" xr:uid="{92060D18-75F9-4718-A20C-682F2BCF08F6}">
      <formula1>0</formula1>
      <formula2>2147483647</formula2>
    </dataValidation>
    <dataValidation type="whole" allowBlank="1" showInputMessage="1" showErrorMessage="1" errorTitle="Invalid Input" error="The allowable amount should not be less than 0." promptTitle="Royalty, Charge, Estate &amp; Trust" prompt="Enter your royalty, charge or estate/trust income received in the previous year." sqref="C15" xr:uid="{E2C2CB46-F4F8-4A11-A94F-1C284EBB2B25}">
      <formula1>0</formula1>
      <formula2>2147483647</formula2>
    </dataValidation>
    <dataValidation type="whole" allowBlank="1" showInputMessage="1" showErrorMessage="1" errorTitle="Invalid Input" error="The amount must be positive number with no decimals only." promptTitle="Gains or Profits " prompt="Enter your gains or profits of an income nature received in the previous year. These include any income which does not fall within any other classifications of income state above." sqref="C16" xr:uid="{A9BCE1D0-BEE0-48AE-AF0F-E2E1A1DAD4CF}">
      <formula1>0</formula1>
      <formula2>2147483647</formula2>
    </dataValidation>
    <dataValidation type="whole" allowBlank="1" showInputMessage="1" showErrorMessage="1" errorTitle="Invalid Input " error="The amount must be positive number with no decimals only." promptTitle="Approved Donations " prompt="Enter the amount donated (2.5 times) to approved Instituation of Public Charater(IPC) in the previous year._x000a__x000a_An Example:_x000a_If you donated $100 to an apporved IPC, you will be given $250 deduction." sqref="C18" xr:uid="{CDA3A4F5-4553-46A3-9EDE-6044BAD57C2E}">
      <formula1>0</formula1>
      <formula2>2147483647</formula2>
    </dataValidation>
    <dataValidation type="whole" allowBlank="1" showInputMessage="1" showErrorMessage="1" errorTitle="Invalid Input" error="The amount must be positive number with no decimal only." promptTitle="Parenthood Tax Rebate" prompt="1st Child  - $5,000_x000a_2nd Child - $10,000_x000a_3rd and each subsequent child - $20,000_x000a__x000a_If you have granted PTR previously and there is balance in your PTR account, refer to the PTR statment on the balance available to offset against your tax payable." sqref="C21" xr:uid="{80BA596A-DE7F-43F6-B9BE-761CAC1C11C1}">
      <formula1>0</formula1>
      <formula2>2147483647</formula2>
    </dataValidation>
    <dataValidation type="whole" allowBlank="1" showInputMessage="1" showErrorMessage="1" errorTitle="Invalid Input" error="The amount must be positive number with no decimals only." promptTitle="Earned Income Relief" prompt="Enter the lower of your earned income or the following values:_x000a_$1000 (Below 55), $6000 (55 to 59) and $8000 (60 and above)_x000a__x000a_For handicapped persons, the maximum earned income relief will be:_x000a_$4000 (Below 55), $10,000 (55 to 59) and $12,000 (60 and above)" sqref="H4" xr:uid="{04DBA8DA-5B7C-40CD-B0A3-9389BC7D2668}">
      <formula1>0</formula1>
      <formula2>2147483647</formula2>
    </dataValidation>
    <dataValidation type="whole" allowBlank="1" showInputMessage="1" showErrorMessage="1" errorTitle="Invalid Input" error="The amount must be positive number with no decimals only." promptTitle="Spouse/Handicapped spouse relief" prompt="Enter $2000 for spouse relief or $5,500 for handicapped spouse relief. You are only eligible for spouse relief if the income of your spouse in the previous year is not more than $4000. " sqref="H5" xr:uid="{B2B00688-D6D0-4203-9D4F-DB9351516933}">
      <formula1>0</formula1>
      <formula2>2147483647</formula2>
    </dataValidation>
    <dataValidation type="whole" allowBlank="1" showInputMessage="1" showErrorMessage="1" errorTitle="Invalid Input" error="The amount must be positive number with no decimals only." promptTitle="QCR or HCR" prompt="Qualifying child relief(QCR)_x000a_Enter $4000 per child._x000a__x000a_Handicapped child relief(HCR)_x000a_Enter $7500 per handicapped child." sqref="H6" xr:uid="{A4739B2D-FD2D-4807-BF89-680D04652052}">
      <formula1>0</formula1>
      <formula2>2147483647</formula2>
    </dataValidation>
    <dataValidation type="whole" allowBlank="1" showInputMessage="1" showErrorMessage="1" errorTitle="Invalid Input" error="The amount must be positive number with no decimals only." promptTitle="Enter the amount" prompt="1st Child - 15% of mother's earned income_x000a_2nd Child - 20% of mother's earned income_x000a_3rd and each subsequent child - 25% of mother's earned income._x000a__x000a_The sum of all child reliefs claimable is subject to a cap of $50,000 for each child._x000a_" sqref="H7" xr:uid="{8EC50909-C736-4134-830E-A4B3A2A9CE78}">
      <formula1>0</formula1>
      <formula2>2147483647</formula2>
    </dataValidation>
    <dataValidation type="whole" allowBlank="1" showInputMessage="1" showErrorMessage="1" errorTitle="Invalid Input" error="The amount must be positive number with no decimals only." promptTitle="Parent/handicapped parent relief" prompt="You can claim parent relief or handicapped parent relief for up to 2 dependants. The amount of relief for each dependant. Click on Parent/handicapped parent relief row to find out more_x000a__x000a__x000a__x000a__x000a__x000a__x000a__x000a__x000a__x000a__x000a__x000a__x000a__x000a__x000a__x000a__x000a_                                                      " sqref="H8" xr:uid="{20DC6A50-181B-4ADC-ADD6-33D9B3BB5CB8}">
      <formula1>0</formula1>
      <formula2>2147483647</formula2>
    </dataValidation>
    <dataValidation type="whole" allowBlank="1" showInputMessage="1" showErrorMessage="1" errorTitle="Input Validation" error="The amount must be positive number with no decimals only." sqref="H11 H14" xr:uid="{9EE8E048-AE0C-46F9-8525-2DE5B85A2620}">
      <formula1>0</formula1>
      <formula2>2147483647</formula2>
    </dataValidation>
    <dataValidation type="whole" allowBlank="1" showInputMessage="1" showErrorMessage="1" errorTitle="Input Validation" error="The amount must be positive number with no decimals only." promptTitle="Grandparent caregiver relief" prompt="Enter $3000, if you entitled to this relief. Click &quot;Grandparent Caregiver relief&quot; for details on qualifying conditions." sqref="H9" xr:uid="{3EABF74C-14E5-491C-B255-FF9AA0896174}">
      <formula1>0</formula1>
      <formula2>2147483647</formula2>
    </dataValidation>
    <dataValidation type="whole" allowBlank="1" showInputMessage="1" showErrorMessage="1" errorTitle="Input Validation" error="The amount must be positive number with no decimals only." prompt="Enter up to $5,000 for each of your spouse's brother or sisters who are handicapped and who you maintained." sqref="H10" xr:uid="{C77AB70C-B6AE-4ED1-BCDC-E7D41697C979}">
      <formula1>0</formula1>
      <formula2>2147483647</formula2>
    </dataValidation>
    <dataValidation type="whole" allowBlank="1" showInputMessage="1" showErrorMessage="1" errorTitle="Input Validation" error="The amount must be positive number with no decimals only." promptTitle="Life Insurance Relief" prompt="You are eligiable to claim life insurance relief up to a maximum of $5,000 if you have zero CPF contribution._x000a_For Example,_x000a_CPF Contribution : $3,000_x000a_Allowable life insurance relief._x000a_$5000 - $3000 = $2000" sqref="H12" xr:uid="{464B82B2-414A-4DA4-AD82-9BD9E62323A6}">
      <formula1>0</formula1>
      <formula2>2147483647</formula2>
    </dataValidation>
    <dataValidation type="whole" allowBlank="1" showInputMessage="1" showErrorMessage="1" errorTitle="Input Validation" error="The amount must be positive number with no decimals only." promptTitle="Course fees relief" prompt="Enter the amount of course fee incurred up to a maximum of $5,500 in a year if you meet the qualifying conditions." sqref="H13" xr:uid="{0B540945-1299-4704-9378-22D76C70E889}">
      <formula1>0</formula1>
      <formula2>2147483647</formula2>
    </dataValidation>
    <dataValidation type="whole" allowBlank="1" showInputMessage="1" showErrorMessage="1" errorTitle="Input Validation" error="The amount must be positive number with no decimals only." prompt="Enter twice the total foreign domestic worker levy paid in the previous year, subject to the following cap amount. Click Foreign domestic worker levy(FWDL) relief to find out more details." sqref="H15" xr:uid="{16589FF9-467E-453B-A185-F5D38363BFAA}">
      <formula1>0</formula1>
      <formula2>2147483647</formula2>
    </dataValidation>
    <dataValidation type="whole" allowBlank="1" showInputMessage="1" showErrorMessage="1" errorTitle="Input Validation" error="The amount must be positive number with no decimals only." promptTitle="SRS Relief" prompt="Enter the amount you/ your employer have contributed in the previous year, subject to a cap of $15,300 for Singaporean / Singapore Permanent Resident and $35,700 for a foreigner." sqref="H16" xr:uid="{EADFF022-B7F7-429D-AD39-539E56764658}">
      <formula1>0</formula1>
      <formula2>2147483647</formula2>
    </dataValidation>
    <dataValidation type="whole" allowBlank="1" showInputMessage="1" showErrorMessage="1" errorTitle="Input Validation" error="The amount must be positive number with no decimals only." promptTitle="NSman relief" prompt="Click &quot;NSman (Self/wife/parent) relief&quot; for more infomation." sqref="H17" xr:uid="{53356405-80E7-461D-96EC-DD7FB195F037}">
      <formula1>0</formula1>
      <formula2>2147483647</formula2>
    </dataValidation>
    <dataValidation type="whole" allowBlank="1" showInputMessage="1" showErrorMessage="1" errorTitle="Input Validation" error="The amount must be positive number with no decimals only." promptTitle="Personal Income Tax Relief Cap" prompt="From YA 2018, the total amount of personal reliefs an indiviual taxpayer can claim is subject to an overrall relief cap of $80,000. _x000a_Therefore, the Total Personal Reliefs shown here is the lower of the total reliefs entered of $80,000." sqref="H18" xr:uid="{82608AEC-2782-432E-BF78-740A96BCD120}">
      <formula1>0</formula1>
      <formula2>2147483647</formula2>
    </dataValidation>
  </dataValidations>
  <hyperlinks>
    <hyperlink ref="A4" r:id="rId1" xr:uid="{00F315B0-0894-497D-AFAA-0137B75EBD62}"/>
    <hyperlink ref="F8" r:id="rId2" xr:uid="{8EF57F07-772F-4B7C-A0EA-EF9DBE3E49A6}"/>
    <hyperlink ref="F9" r:id="rId3" xr:uid="{9E25D587-F10B-42A6-8366-61DFE3792782}"/>
    <hyperlink ref="F10" r:id="rId4" xr:uid="{0D683BA5-4AF9-42DE-8E3A-9788D3E4907A}"/>
    <hyperlink ref="F11" r:id="rId5" xr:uid="{B8DA6E0F-78F2-4BF5-B605-CF611A2516FD}"/>
    <hyperlink ref="F12" r:id="rId6" xr:uid="{A80D3ACC-A831-4607-8BFF-27D2D69B23EC}"/>
    <hyperlink ref="F13" r:id="rId7" xr:uid="{F4D0A3DA-F8D8-43E8-9683-ED1469A1BD2A}"/>
    <hyperlink ref="F14" r:id="rId8" xr:uid="{8460C9F8-F6D7-4309-B6CE-67F774FA831C}"/>
    <hyperlink ref="F15" r:id="rId9" xr:uid="{88B04E4F-35EF-4641-9909-91D1B03B349F}"/>
    <hyperlink ref="F16" r:id="rId10" xr:uid="{AC867437-7723-41FE-975E-59CCC8F967C1}"/>
    <hyperlink ref="F17" r:id="rId11" xr:uid="{03B9F5EA-E705-4347-8DF8-5500016E7EE5}"/>
    <hyperlink ref="F18" r:id="rId12" xr:uid="{5E20EB8E-BD1E-4EF5-A59E-8E65F43A938E}"/>
    <hyperlink ref="F7" r:id="rId13" xr:uid="{7D9643F3-5671-42E9-9009-52212F93266D}"/>
    <hyperlink ref="F6" r:id="rId14" xr:uid="{25A7D5CE-2785-412F-B5C5-CA1BE26EB2C1}"/>
    <hyperlink ref="F5" r:id="rId15" xr:uid="{75CF1F42-DE37-4C13-A516-CBB69B831805}"/>
    <hyperlink ref="F4" r:id="rId16" xr:uid="{CA07F27E-8BBD-4A71-AC80-21692A13C588}"/>
    <hyperlink ref="A5" r:id="rId17" xr:uid="{07C98101-D5C5-419E-A741-ECB711C5D265}"/>
    <hyperlink ref="A9" r:id="rId18" xr:uid="{ECFA0845-C9E8-4E39-93DD-15ED9ED4C322}"/>
    <hyperlink ref="A12" r:id="rId19" xr:uid="{A0D6F870-BD88-4B00-AAA2-A596103A3BB1}"/>
    <hyperlink ref="A13" r:id="rId20" xr:uid="{B086497F-3CF6-4714-BAC2-B45E36DBE2FE}"/>
    <hyperlink ref="A14" r:id="rId21" xr:uid="{F09D8CAE-E75E-44BD-992A-2705C4EE7A09}"/>
    <hyperlink ref="A15" r:id="rId22" xr:uid="{20A8C184-AF03-4B44-9CFE-A29ED5C80001}"/>
    <hyperlink ref="A16" r:id="rId23" xr:uid="{D3F2DF32-6143-441D-A6D1-8E0E436527AA}"/>
    <hyperlink ref="A17" r:id="rId24" xr:uid="{BB790856-A528-4FE4-BA40-01F64DDD6C9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0AF18-A3B6-46D8-B10A-57C3FF4AC70F}">
  <sheetPr codeName="Sheet11"/>
  <dimension ref="A1:K18"/>
  <sheetViews>
    <sheetView workbookViewId="0">
      <selection activeCell="C23" sqref="C23"/>
    </sheetView>
  </sheetViews>
  <sheetFormatPr defaultRowHeight="15"/>
  <cols>
    <col min="1" max="1" width="12.42578125" style="52" bestFit="1" customWidth="1"/>
    <col min="2" max="2" width="22.5703125" style="52" customWidth="1"/>
    <col min="3" max="3" width="17" bestFit="1" customWidth="1"/>
    <col min="5" max="5" width="22.42578125" customWidth="1"/>
    <col min="6" max="6" width="13.5703125" customWidth="1"/>
    <col min="9" max="9" width="13.42578125" customWidth="1"/>
  </cols>
  <sheetData>
    <row r="1" spans="1:11">
      <c r="A1" s="182" t="s">
        <v>157</v>
      </c>
      <c r="B1" s="182"/>
      <c r="C1" s="182"/>
      <c r="D1" s="182"/>
      <c r="E1" s="182"/>
      <c r="F1" s="182"/>
      <c r="I1" s="52" t="s">
        <v>158</v>
      </c>
    </row>
    <row r="2" spans="1:11">
      <c r="A2" s="99" t="s">
        <v>159</v>
      </c>
      <c r="B2" s="99" t="s">
        <v>160</v>
      </c>
      <c r="C2" s="86" t="s">
        <v>161</v>
      </c>
      <c r="D2" s="86" t="s">
        <v>162</v>
      </c>
      <c r="E2" s="86" t="s">
        <v>163</v>
      </c>
      <c r="F2" s="86" t="s">
        <v>42</v>
      </c>
      <c r="I2" s="52" t="s">
        <v>164</v>
      </c>
      <c r="J2">
        <v>38000</v>
      </c>
    </row>
    <row r="3" spans="1:11">
      <c r="A3" s="83">
        <v>0</v>
      </c>
      <c r="B3" s="83">
        <v>0</v>
      </c>
      <c r="C3" s="83">
        <v>0</v>
      </c>
      <c r="D3" s="100">
        <v>0</v>
      </c>
      <c r="E3" s="83">
        <v>0</v>
      </c>
      <c r="F3" s="66"/>
      <c r="I3" s="52" t="s">
        <v>165</v>
      </c>
      <c r="J3">
        <f>VLOOKUP(J2,A3:F14,2,TRUE) +(J2-VLOOKUP(J2,A3:F14,1,TRUE)) * (VLOOKUP(J2,A3:F14,4,TRUE))</f>
        <v>480</v>
      </c>
    </row>
    <row r="4" spans="1:11">
      <c r="A4" s="83">
        <v>20000</v>
      </c>
      <c r="B4" s="101">
        <v>0</v>
      </c>
      <c r="C4" s="83">
        <f t="shared" ref="C4:C13" si="0">A5-A4</f>
        <v>10000</v>
      </c>
      <c r="D4" s="100">
        <v>0.02</v>
      </c>
      <c r="E4" s="102">
        <v>200</v>
      </c>
      <c r="F4" s="83">
        <f>B4+E4</f>
        <v>200</v>
      </c>
    </row>
    <row r="5" spans="1:11">
      <c r="A5" s="83">
        <v>30000</v>
      </c>
      <c r="B5" s="101">
        <v>200</v>
      </c>
      <c r="C5" s="83">
        <f t="shared" si="0"/>
        <v>10000</v>
      </c>
      <c r="D5" s="100">
        <v>3.5000000000000003E-2</v>
      </c>
      <c r="E5" s="102">
        <v>350</v>
      </c>
      <c r="F5" s="83">
        <f t="shared" ref="F5:F13" si="1">B5+E5</f>
        <v>550</v>
      </c>
    </row>
    <row r="6" spans="1:11">
      <c r="A6" s="83">
        <v>40000</v>
      </c>
      <c r="B6" s="101">
        <v>550</v>
      </c>
      <c r="C6" s="83">
        <f t="shared" si="0"/>
        <v>40000</v>
      </c>
      <c r="D6" s="100">
        <v>7.0000000000000007E-2</v>
      </c>
      <c r="E6" s="102">
        <v>2800</v>
      </c>
      <c r="F6" s="83">
        <f t="shared" si="1"/>
        <v>3350</v>
      </c>
    </row>
    <row r="7" spans="1:11">
      <c r="A7" s="83">
        <v>80000</v>
      </c>
      <c r="B7" s="101">
        <v>3350</v>
      </c>
      <c r="C7" s="83">
        <f t="shared" si="0"/>
        <v>40000</v>
      </c>
      <c r="D7" s="100">
        <v>0.115</v>
      </c>
      <c r="E7" s="102">
        <v>4600</v>
      </c>
      <c r="F7" s="83">
        <f t="shared" si="1"/>
        <v>7950</v>
      </c>
    </row>
    <row r="8" spans="1:11">
      <c r="A8" s="83">
        <v>120000</v>
      </c>
      <c r="B8" s="101">
        <v>7950</v>
      </c>
      <c r="C8" s="83">
        <f t="shared" si="0"/>
        <v>40000</v>
      </c>
      <c r="D8" s="100">
        <v>0.15</v>
      </c>
      <c r="E8" s="102">
        <v>6000</v>
      </c>
      <c r="F8" s="83">
        <f t="shared" si="1"/>
        <v>13950</v>
      </c>
    </row>
    <row r="9" spans="1:11">
      <c r="A9" s="83">
        <v>160000</v>
      </c>
      <c r="B9" s="101">
        <v>13950</v>
      </c>
      <c r="C9" s="83">
        <f t="shared" si="0"/>
        <v>40000</v>
      </c>
      <c r="D9" s="100">
        <v>0.18</v>
      </c>
      <c r="E9" s="102">
        <v>7200</v>
      </c>
      <c r="F9" s="83">
        <f t="shared" si="1"/>
        <v>21150</v>
      </c>
    </row>
    <row r="10" spans="1:11">
      <c r="A10" s="83">
        <v>200000</v>
      </c>
      <c r="B10" s="101">
        <v>21150</v>
      </c>
      <c r="C10" s="83">
        <f t="shared" si="0"/>
        <v>40000</v>
      </c>
      <c r="D10" s="100">
        <v>0.19</v>
      </c>
      <c r="E10" s="102">
        <v>7600</v>
      </c>
      <c r="F10" s="83">
        <f t="shared" si="1"/>
        <v>28750</v>
      </c>
    </row>
    <row r="11" spans="1:11">
      <c r="A11" s="83">
        <v>240000</v>
      </c>
      <c r="B11" s="101">
        <v>28750</v>
      </c>
      <c r="C11" s="83">
        <f t="shared" si="0"/>
        <v>40000</v>
      </c>
      <c r="D11" s="100">
        <v>0.19500000000000001</v>
      </c>
      <c r="E11" s="102">
        <v>7800</v>
      </c>
      <c r="F11" s="83">
        <f t="shared" si="1"/>
        <v>36550</v>
      </c>
    </row>
    <row r="12" spans="1:11">
      <c r="A12" s="83">
        <v>280000</v>
      </c>
      <c r="B12" s="101">
        <v>36550</v>
      </c>
      <c r="C12" s="83">
        <f t="shared" si="0"/>
        <v>40000</v>
      </c>
      <c r="D12" s="100">
        <v>0.2</v>
      </c>
      <c r="E12" s="102">
        <v>8000</v>
      </c>
      <c r="F12" s="83">
        <f t="shared" si="1"/>
        <v>44550</v>
      </c>
    </row>
    <row r="13" spans="1:11">
      <c r="A13" s="83">
        <v>320000</v>
      </c>
      <c r="B13" s="101">
        <v>44550</v>
      </c>
      <c r="C13" s="83">
        <f t="shared" si="0"/>
        <v>320000</v>
      </c>
      <c r="D13" s="100">
        <v>0.22</v>
      </c>
      <c r="E13" s="83"/>
      <c r="F13" s="83">
        <f t="shared" si="1"/>
        <v>44550</v>
      </c>
    </row>
    <row r="14" spans="1:11">
      <c r="A14" s="83">
        <v>640000</v>
      </c>
      <c r="B14" s="83"/>
      <c r="C14" s="83"/>
      <c r="D14" s="83"/>
      <c r="E14" s="83"/>
      <c r="F14" s="66"/>
      <c r="K14" s="62"/>
    </row>
    <row r="15" spans="1:11">
      <c r="A15" s="62"/>
      <c r="B15" s="62"/>
      <c r="C15" s="62"/>
      <c r="D15" s="62"/>
      <c r="E15" s="62"/>
      <c r="K15" s="22"/>
    </row>
    <row r="16" spans="1:11">
      <c r="K16" s="62"/>
    </row>
    <row r="17" spans="11:11">
      <c r="K17" s="62"/>
    </row>
    <row r="18" spans="11:11">
      <c r="K18" s="62"/>
    </row>
  </sheetData>
  <sheetProtection sheet="1" objects="1" scenarios="1"/>
  <mergeCells count="1">
    <mergeCell ref="A1:F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9A8224EE397914AB290C156C5F2772D" ma:contentTypeVersion="4" ma:contentTypeDescription="Create a new document." ma:contentTypeScope="" ma:versionID="2ca0808618d79886347ee1977686080c">
  <xsd:schema xmlns:xsd="http://www.w3.org/2001/XMLSchema" xmlns:xs="http://www.w3.org/2001/XMLSchema" xmlns:p="http://schemas.microsoft.com/office/2006/metadata/properties" xmlns:ns2="5252b940-22b6-47d8-b7f9-1e28c72ca591" targetNamespace="http://schemas.microsoft.com/office/2006/metadata/properties" ma:root="true" ma:fieldsID="bfb65c55c409e3907116231dc6f55d78" ns2:_="">
    <xsd:import namespace="5252b940-22b6-47d8-b7f9-1e28c72ca59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52b940-22b6-47d8-b7f9-1e28c72ca5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85D8C8C-F08C-4D72-B624-9FF3E89EE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52b940-22b6-47d8-b7f9-1e28c72ca59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26E5E44-4783-4EAF-BD13-EA6178DCE85D}">
  <ds:schemaRefs>
    <ds:schemaRef ds:uri="http://schemas.microsoft.com/sharepoint/v3/contenttype/forms"/>
  </ds:schemaRefs>
</ds:datastoreItem>
</file>

<file path=customXml/itemProps3.xml><?xml version="1.0" encoding="utf-8"?>
<ds:datastoreItem xmlns:ds="http://schemas.openxmlformats.org/officeDocument/2006/customXml" ds:itemID="{1E39C335-684C-4918-BB2A-F6705330C5F0}">
  <ds:schemaRefs>
    <ds:schemaRef ds:uri="http://purl.org/dc/elements/1.1/"/>
    <ds:schemaRef ds:uri="5252b940-22b6-47d8-b7f9-1e28c72ca591"/>
    <ds:schemaRef ds:uri="http://www.w3.org/XML/1998/namespace"/>
    <ds:schemaRef ds:uri="http://schemas.microsoft.com/office/2006/documentManagement/types"/>
    <ds:schemaRef ds:uri="http://schemas.microsoft.com/office/2006/metadata/properties"/>
    <ds:schemaRef ds:uri="http://schemas.microsoft.com/office/infopath/2007/PartnerControls"/>
    <ds:schemaRef ds:uri="http://purl.org/dc/dcmitype/"/>
    <ds:schemaRef ds:uri="http://schemas.openxmlformats.org/package/2006/metadata/core-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Dashboard</vt:lpstr>
      <vt:lpstr>Ledger</vt:lpstr>
      <vt:lpstr>Liabilities</vt:lpstr>
      <vt:lpstr>Recurring Expenses</vt:lpstr>
      <vt:lpstr>CPF</vt:lpstr>
      <vt:lpstr>Main</vt:lpstr>
      <vt:lpstr>CPF Table</vt:lpstr>
      <vt:lpstr>_Database</vt:lpstr>
      <vt:lpstr>Dashboard 2</vt:lpstr>
      <vt:lpstr>Investment</vt:lpstr>
      <vt:lpstr>Income Tax</vt:lpstr>
      <vt:lpstr>Income Tax Table</vt:lpstr>
      <vt:lpstr>B</vt:lpstr>
      <vt:lpstr>CatAmountTable</vt:lpstr>
      <vt:lpstr>Paid</vt:lpstr>
      <vt:lpstr>ReccEx</vt:lpstr>
      <vt:lpstr>Transaction</vt:lpstr>
      <vt:lpstr>TransactionVals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samuel kwan</dc:creator>
  <cp:keywords/>
  <dc:description/>
  <cp:lastModifiedBy>Keane Travasso</cp:lastModifiedBy>
  <cp:revision/>
  <dcterms:created xsi:type="dcterms:W3CDTF">2021-11-26T08:14:49Z</dcterms:created>
  <dcterms:modified xsi:type="dcterms:W3CDTF">2022-01-26T15:52:35Z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0x010100B9A8224EE397914AB290C156C5F2772D</vt:lpwstr>
  </property>
</Properties>
</file>